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lejandro\Desktop\"/>
    </mc:Choice>
  </mc:AlternateContent>
  <xr:revisionPtr revIDLastSave="0" documentId="13_ncr:1_{BC13B175-2D2F-405D-A78D-D4D61298C5DF}" xr6:coauthVersionLast="47" xr6:coauthVersionMax="47" xr10:uidLastSave="{00000000-0000-0000-0000-000000000000}"/>
  <bookViews>
    <workbookView xWindow="-110" yWindow="-110" windowWidth="19420" windowHeight="10300" tabRatio="500" firstSheet="8" activeTab="10" xr2:uid="{00000000-000D-0000-FFFF-FFFF00000000}"/>
  </bookViews>
  <sheets>
    <sheet name="1. Datos Entrada" sheetId="1" r:id="rId1"/>
    <sheet name="2.M1 Frecuencia Ponderada" sheetId="2" r:id="rId2"/>
    <sheet name="3.M2 Entropia Shannon" sheetId="3" r:id="rId3"/>
    <sheet name="4.M3 AHP Simplificado" sheetId="4" r:id="rId4"/>
    <sheet name="5. Peso Final Combinado" sheetId="5" r:id="rId5"/>
    <sheet name="6. Matriz 34 Fuentes" sheetId="6" r:id="rId6"/>
    <sheet name="7. Matriz Datos Entrada" sheetId="7" r:id="rId7"/>
    <sheet name="8.M1 Frecuencia Ponderada" sheetId="8" r:id="rId8"/>
    <sheet name="9.M2 Entropia Shannon" sheetId="9" r:id="rId9"/>
    <sheet name="10.M3 AHP" sheetId="10" r:id="rId10"/>
    <sheet name="11. Peso Final Combinado" sheetId="11" r:id="rId11"/>
    <sheet name="14_Mat_TOPSIS" sheetId="13" state="hidden" r:id="rId12"/>
    <sheet name="12_Justificacion_Materiales" sheetId="14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" i="3" l="1"/>
  <c r="C7" i="3"/>
  <c r="C8" i="3"/>
  <c r="C9" i="3"/>
  <c r="C5" i="3"/>
  <c r="D5" i="9"/>
  <c r="D6" i="9"/>
  <c r="D7" i="9"/>
  <c r="D8" i="9"/>
  <c r="D9" i="9"/>
  <c r="D10" i="9"/>
  <c r="D11" i="9"/>
  <c r="D4" i="9"/>
  <c r="G44" i="6"/>
  <c r="F44" i="6"/>
  <c r="E44" i="6"/>
  <c r="D44" i="6"/>
  <c r="C44" i="6"/>
  <c r="B44" i="6"/>
  <c r="C6" i="1" l="1"/>
  <c r="C7" i="1"/>
  <c r="B6" i="2" s="1"/>
  <c r="C8" i="1"/>
  <c r="B7" i="2" s="1"/>
  <c r="C9" i="1"/>
  <c r="B8" i="2" s="1"/>
  <c r="C5" i="1"/>
  <c r="B4" i="2" s="1"/>
  <c r="E9" i="3"/>
  <c r="F9" i="3" s="1"/>
  <c r="E6" i="3"/>
  <c r="G52" i="13"/>
  <c r="B52" i="13"/>
  <c r="G51" i="13"/>
  <c r="B51" i="13"/>
  <c r="G50" i="13"/>
  <c r="B50" i="13"/>
  <c r="G49" i="13"/>
  <c r="B49" i="13"/>
  <c r="G48" i="13"/>
  <c r="B48" i="13"/>
  <c r="G47" i="13"/>
  <c r="B47" i="13"/>
  <c r="G46" i="13"/>
  <c r="B46" i="13"/>
  <c r="G45" i="13"/>
  <c r="B45" i="13"/>
  <c r="B41" i="13"/>
  <c r="B40" i="13"/>
  <c r="B39" i="13"/>
  <c r="B38" i="13"/>
  <c r="B37" i="13"/>
  <c r="B36" i="13"/>
  <c r="B35" i="13"/>
  <c r="B34" i="13"/>
  <c r="B26" i="13"/>
  <c r="B25" i="13"/>
  <c r="B24" i="13"/>
  <c r="B23" i="13"/>
  <c r="B22" i="13"/>
  <c r="B21" i="13"/>
  <c r="B20" i="13"/>
  <c r="B19" i="13"/>
  <c r="G15" i="13"/>
  <c r="F15" i="13"/>
  <c r="E15" i="13"/>
  <c r="D15" i="13"/>
  <c r="C15" i="13"/>
  <c r="B15" i="13"/>
  <c r="G14" i="13"/>
  <c r="F14" i="13"/>
  <c r="E14" i="13"/>
  <c r="D14" i="13"/>
  <c r="C14" i="13"/>
  <c r="B14" i="13"/>
  <c r="G13" i="13"/>
  <c r="F13" i="13"/>
  <c r="E13" i="13"/>
  <c r="D13" i="13"/>
  <c r="C13" i="13"/>
  <c r="B13" i="13"/>
  <c r="G12" i="13"/>
  <c r="F12" i="13"/>
  <c r="E12" i="13"/>
  <c r="D12" i="13"/>
  <c r="C12" i="13"/>
  <c r="B12" i="13"/>
  <c r="G11" i="13"/>
  <c r="F11" i="13"/>
  <c r="E11" i="13"/>
  <c r="D11" i="13"/>
  <c r="C11" i="13"/>
  <c r="B11" i="13"/>
  <c r="G10" i="13"/>
  <c r="F10" i="13"/>
  <c r="E10" i="13"/>
  <c r="D10" i="13"/>
  <c r="C10" i="13"/>
  <c r="B10" i="13"/>
  <c r="G9" i="13"/>
  <c r="F9" i="13"/>
  <c r="E9" i="13"/>
  <c r="D9" i="13"/>
  <c r="C9" i="13"/>
  <c r="B9" i="13"/>
  <c r="G8" i="13"/>
  <c r="F8" i="13"/>
  <c r="E8" i="13"/>
  <c r="D8" i="13"/>
  <c r="C8" i="13"/>
  <c r="B8" i="13"/>
  <c r="B11" i="11"/>
  <c r="B10" i="11"/>
  <c r="B9" i="11"/>
  <c r="B8" i="11"/>
  <c r="B7" i="11"/>
  <c r="B6" i="11"/>
  <c r="B5" i="11"/>
  <c r="B4" i="11"/>
  <c r="F11" i="9"/>
  <c r="C11" i="9"/>
  <c r="E11" i="9" s="1"/>
  <c r="B11" i="9"/>
  <c r="F10" i="9"/>
  <c r="C10" i="9"/>
  <c r="E10" i="9" s="1"/>
  <c r="G10" i="9" s="1"/>
  <c r="B10" i="9"/>
  <c r="F9" i="9"/>
  <c r="C9" i="9"/>
  <c r="E9" i="9" s="1"/>
  <c r="G9" i="9" s="1"/>
  <c r="B9" i="9"/>
  <c r="F8" i="9"/>
  <c r="C8" i="9"/>
  <c r="E8" i="9" s="1"/>
  <c r="G8" i="9" s="1"/>
  <c r="B8" i="9"/>
  <c r="F7" i="9"/>
  <c r="C7" i="9"/>
  <c r="E7" i="9" s="1"/>
  <c r="G7" i="9" s="1"/>
  <c r="B7" i="9"/>
  <c r="F6" i="9"/>
  <c r="C6" i="9"/>
  <c r="E6" i="9" s="1"/>
  <c r="B6" i="9"/>
  <c r="F5" i="9"/>
  <c r="C5" i="9"/>
  <c r="E5" i="9" s="1"/>
  <c r="G5" i="9" s="1"/>
  <c r="B5" i="9"/>
  <c r="F4" i="9"/>
  <c r="C4" i="9"/>
  <c r="E4" i="9" s="1"/>
  <c r="G4" i="9" s="1"/>
  <c r="B4" i="9"/>
  <c r="C11" i="8"/>
  <c r="D11" i="8" s="1"/>
  <c r="B11" i="8"/>
  <c r="C10" i="8"/>
  <c r="D10" i="8" s="1"/>
  <c r="B10" i="8"/>
  <c r="C9" i="8"/>
  <c r="D9" i="8" s="1"/>
  <c r="B9" i="8"/>
  <c r="C8" i="8"/>
  <c r="D8" i="8" s="1"/>
  <c r="B8" i="8"/>
  <c r="C7" i="8"/>
  <c r="D7" i="8" s="1"/>
  <c r="B7" i="8"/>
  <c r="C6" i="8"/>
  <c r="D6" i="8" s="1"/>
  <c r="B6" i="8"/>
  <c r="C5" i="8"/>
  <c r="D5" i="8" s="1"/>
  <c r="B5" i="8"/>
  <c r="C4" i="8"/>
  <c r="D4" i="8" s="1"/>
  <c r="B4" i="8"/>
  <c r="F8" i="4"/>
  <c r="E8" i="4"/>
  <c r="D8" i="4"/>
  <c r="C8" i="4"/>
  <c r="B8" i="4"/>
  <c r="F7" i="4"/>
  <c r="E7" i="4"/>
  <c r="D7" i="4"/>
  <c r="C7" i="4"/>
  <c r="B7" i="4"/>
  <c r="F6" i="4"/>
  <c r="E6" i="4"/>
  <c r="D6" i="4"/>
  <c r="C6" i="4"/>
  <c r="B6" i="4"/>
  <c r="F5" i="4"/>
  <c r="E5" i="4"/>
  <c r="D5" i="4"/>
  <c r="C5" i="4"/>
  <c r="B5" i="4"/>
  <c r="F4" i="4"/>
  <c r="E4" i="4"/>
  <c r="D4" i="4"/>
  <c r="C4" i="4"/>
  <c r="B4" i="4"/>
  <c r="B9" i="3"/>
  <c r="D9" i="3" s="1"/>
  <c r="B8" i="3"/>
  <c r="D8" i="3" s="1"/>
  <c r="E7" i="3"/>
  <c r="B7" i="3"/>
  <c r="D7" i="3" s="1"/>
  <c r="B6" i="3"/>
  <c r="D6" i="3" s="1"/>
  <c r="B5" i="3"/>
  <c r="D5" i="3" s="1"/>
  <c r="G6" i="9" l="1"/>
  <c r="G11" i="9"/>
  <c r="C10" i="1"/>
  <c r="C8" i="2" s="1"/>
  <c r="F7" i="3"/>
  <c r="C5" i="2"/>
  <c r="C6" i="2"/>
  <c r="C4" i="2"/>
  <c r="F6" i="3"/>
  <c r="B5" i="2"/>
  <c r="G5" i="4"/>
  <c r="J6" i="10"/>
  <c r="I9" i="10"/>
  <c r="E8" i="3"/>
  <c r="F8" i="3" s="1"/>
  <c r="E5" i="3"/>
  <c r="F5" i="3" s="1"/>
  <c r="G6" i="4"/>
  <c r="G8" i="4"/>
  <c r="G4" i="4"/>
  <c r="G7" i="4"/>
  <c r="F6" i="10"/>
  <c r="E6" i="10"/>
  <c r="D6" i="10"/>
  <c r="C6" i="10"/>
  <c r="E6" i="8"/>
  <c r="C6" i="11" s="1"/>
  <c r="H6" i="10"/>
  <c r="G6" i="10"/>
  <c r="J8" i="10"/>
  <c r="J4" i="10"/>
  <c r="H9" i="10"/>
  <c r="F9" i="10"/>
  <c r="E9" i="10"/>
  <c r="D9" i="10"/>
  <c r="E9" i="8"/>
  <c r="C9" i="11" s="1"/>
  <c r="C9" i="10"/>
  <c r="J9" i="10"/>
  <c r="G9" i="10"/>
  <c r="D7" i="10"/>
  <c r="J7" i="10"/>
  <c r="H7" i="10"/>
  <c r="G7" i="10"/>
  <c r="F7" i="10"/>
  <c r="E7" i="8"/>
  <c r="C7" i="11" s="1"/>
  <c r="C7" i="10"/>
  <c r="E7" i="10"/>
  <c r="H10" i="9"/>
  <c r="D10" i="11" s="1"/>
  <c r="E10" i="10"/>
  <c r="I4" i="10"/>
  <c r="D10" i="10"/>
  <c r="J10" i="10"/>
  <c r="I10" i="10"/>
  <c r="G10" i="10"/>
  <c r="E10" i="8"/>
  <c r="C10" i="11" s="1"/>
  <c r="H11" i="9"/>
  <c r="D11" i="11" s="1"/>
  <c r="H5" i="10"/>
  <c r="D11" i="10"/>
  <c r="J11" i="10"/>
  <c r="E11" i="8"/>
  <c r="C11" i="11" s="1"/>
  <c r="I11" i="10"/>
  <c r="H11" i="10"/>
  <c r="G11" i="10"/>
  <c r="F11" i="10"/>
  <c r="C11" i="10"/>
  <c r="E11" i="10"/>
  <c r="H7" i="9"/>
  <c r="D7" i="11" s="1"/>
  <c r="C4" i="10"/>
  <c r="I5" i="10"/>
  <c r="C8" i="10"/>
  <c r="E8" i="8"/>
  <c r="C8" i="11" s="1"/>
  <c r="G5" i="10"/>
  <c r="D4" i="10"/>
  <c r="J5" i="10"/>
  <c r="D8" i="10"/>
  <c r="E4" i="8"/>
  <c r="E4" i="10"/>
  <c r="C5" i="10"/>
  <c r="E8" i="10"/>
  <c r="F4" i="10"/>
  <c r="D5" i="10"/>
  <c r="F8" i="10"/>
  <c r="G4" i="10"/>
  <c r="E5" i="10"/>
  <c r="G8" i="10"/>
  <c r="H4" i="10"/>
  <c r="F5" i="10"/>
  <c r="H8" i="10"/>
  <c r="E5" i="8"/>
  <c r="C5" i="11" s="1"/>
  <c r="C7" i="2" l="1"/>
  <c r="D7" i="2" s="1"/>
  <c r="B7" i="5" s="1"/>
  <c r="G5" i="3"/>
  <c r="H7" i="4"/>
  <c r="D7" i="5" s="1"/>
  <c r="I8" i="10"/>
  <c r="K8" i="10" s="1"/>
  <c r="H10" i="10"/>
  <c r="F10" i="10"/>
  <c r="I7" i="10"/>
  <c r="K7" i="10" s="1"/>
  <c r="I6" i="10"/>
  <c r="K6" i="10" s="1"/>
  <c r="C10" i="10"/>
  <c r="G8" i="3"/>
  <c r="C7" i="5" s="1"/>
  <c r="G7" i="3"/>
  <c r="C6" i="5" s="1"/>
  <c r="H8" i="4"/>
  <c r="D8" i="5" s="1"/>
  <c r="G6" i="3"/>
  <c r="C5" i="5" s="1"/>
  <c r="H5" i="4"/>
  <c r="D5" i="5" s="1"/>
  <c r="H4" i="4"/>
  <c r="D4" i="5" s="1"/>
  <c r="H6" i="4"/>
  <c r="D6" i="5" s="1"/>
  <c r="K9" i="10"/>
  <c r="H6" i="9"/>
  <c r="D6" i="11" s="1"/>
  <c r="D8" i="2"/>
  <c r="B8" i="5" s="1"/>
  <c r="D5" i="2"/>
  <c r="B5" i="5" s="1"/>
  <c r="D4" i="2"/>
  <c r="B4" i="5" s="1"/>
  <c r="D6" i="2"/>
  <c r="B6" i="5" s="1"/>
  <c r="H9" i="9"/>
  <c r="D9" i="11" s="1"/>
  <c r="H4" i="9"/>
  <c r="H5" i="9"/>
  <c r="D5" i="11" s="1"/>
  <c r="H8" i="9"/>
  <c r="D8" i="11" s="1"/>
  <c r="K11" i="10"/>
  <c r="K5" i="10"/>
  <c r="C4" i="11"/>
  <c r="E12" i="8"/>
  <c r="K4" i="10"/>
  <c r="K10" i="10" l="1"/>
  <c r="L7" i="10"/>
  <c r="E7" i="11" s="1"/>
  <c r="F7" i="11" s="1"/>
  <c r="E7" i="5"/>
  <c r="F22" i="13" s="1"/>
  <c r="G9" i="3"/>
  <c r="C4" i="5"/>
  <c r="H9" i="4"/>
  <c r="E5" i="5"/>
  <c r="D26" i="13" s="1"/>
  <c r="D9" i="5"/>
  <c r="E6" i="5"/>
  <c r="E22" i="13" s="1"/>
  <c r="D9" i="2"/>
  <c r="L10" i="10"/>
  <c r="E10" i="11" s="1"/>
  <c r="F10" i="11" s="1"/>
  <c r="L4" i="10"/>
  <c r="L6" i="10"/>
  <c r="E6" i="11" s="1"/>
  <c r="F6" i="11" s="1"/>
  <c r="L5" i="10"/>
  <c r="E5" i="11" s="1"/>
  <c r="F5" i="11" s="1"/>
  <c r="L8" i="10"/>
  <c r="E8" i="11" s="1"/>
  <c r="F8" i="11" s="1"/>
  <c r="L11" i="10"/>
  <c r="E11" i="11" s="1"/>
  <c r="F11" i="11" s="1"/>
  <c r="H12" i="9"/>
  <c r="D4" i="11"/>
  <c r="D12" i="11" s="1"/>
  <c r="C12" i="11"/>
  <c r="L9" i="10"/>
  <c r="E9" i="11" s="1"/>
  <c r="F9" i="11" s="1"/>
  <c r="F20" i="13" l="1"/>
  <c r="F21" i="13"/>
  <c r="F26" i="13"/>
  <c r="C8" i="5"/>
  <c r="E8" i="5" s="1"/>
  <c r="G22" i="13" s="1"/>
  <c r="G10" i="3"/>
  <c r="F25" i="13"/>
  <c r="B66" i="14"/>
  <c r="F24" i="13"/>
  <c r="F19" i="13"/>
  <c r="F23" i="13"/>
  <c r="F7" i="13"/>
  <c r="D24" i="13"/>
  <c r="D20" i="13"/>
  <c r="D23" i="13"/>
  <c r="D19" i="13"/>
  <c r="D7" i="13"/>
  <c r="B64" i="14"/>
  <c r="D21" i="13"/>
  <c r="B65" i="14"/>
  <c r="E21" i="13"/>
  <c r="D25" i="13"/>
  <c r="E25" i="13"/>
  <c r="E20" i="13"/>
  <c r="D22" i="13"/>
  <c r="E24" i="13"/>
  <c r="E26" i="13"/>
  <c r="E7" i="13"/>
  <c r="E19" i="13"/>
  <c r="E23" i="13"/>
  <c r="B9" i="5"/>
  <c r="E4" i="5"/>
  <c r="E4" i="11"/>
  <c r="E12" i="11" s="1"/>
  <c r="L12" i="10"/>
  <c r="F4" i="11" l="1"/>
  <c r="F12" i="11" s="1"/>
  <c r="G24" i="13"/>
  <c r="G7" i="13"/>
  <c r="G19" i="13"/>
  <c r="G23" i="13"/>
  <c r="G20" i="13"/>
  <c r="B67" i="14"/>
  <c r="G25" i="13"/>
  <c r="G26" i="13"/>
  <c r="G29" i="13" s="1"/>
  <c r="F29" i="13"/>
  <c r="G21" i="13"/>
  <c r="F30" i="13"/>
  <c r="C9" i="5"/>
  <c r="D29" i="13"/>
  <c r="E29" i="13"/>
  <c r="D30" i="13"/>
  <c r="E30" i="13"/>
  <c r="C24" i="13"/>
  <c r="C20" i="13"/>
  <c r="C25" i="13"/>
  <c r="C21" i="13"/>
  <c r="E9" i="5"/>
  <c r="B63" i="14"/>
  <c r="C26" i="13"/>
  <c r="C22" i="13"/>
  <c r="C7" i="13"/>
  <c r="C23" i="13"/>
  <c r="C19" i="13"/>
  <c r="G30" i="13" l="1"/>
  <c r="C30" i="13"/>
  <c r="D40" i="13" s="1"/>
  <c r="D51" i="13" s="1"/>
  <c r="C29" i="13"/>
  <c r="C34" i="13" s="1"/>
  <c r="C45" i="13" s="1"/>
  <c r="D38" i="13" l="1"/>
  <c r="D49" i="13" s="1"/>
  <c r="D36" i="13"/>
  <c r="D47" i="13" s="1"/>
  <c r="C36" i="13"/>
  <c r="C47" i="13" s="1"/>
  <c r="C38" i="13"/>
  <c r="C49" i="13" s="1"/>
  <c r="C35" i="13"/>
  <c r="C46" i="13" s="1"/>
  <c r="D35" i="13"/>
  <c r="D46" i="13" s="1"/>
  <c r="C41" i="13"/>
  <c r="C52" i="13" s="1"/>
  <c r="D41" i="13"/>
  <c r="D52" i="13" s="1"/>
  <c r="C39" i="13"/>
  <c r="C50" i="13" s="1"/>
  <c r="C37" i="13"/>
  <c r="C48" i="13" s="1"/>
  <c r="C40" i="13"/>
  <c r="C51" i="13" s="1"/>
  <c r="E51" i="13" s="1"/>
  <c r="D34" i="13"/>
  <c r="D45" i="13" s="1"/>
  <c r="E45" i="13" s="1"/>
  <c r="D39" i="13"/>
  <c r="D50" i="13" s="1"/>
  <c r="D37" i="13"/>
  <c r="D48" i="13" s="1"/>
  <c r="E49" i="13" l="1"/>
  <c r="E47" i="13"/>
  <c r="E48" i="13"/>
  <c r="E52" i="13"/>
  <c r="E50" i="13"/>
  <c r="E46" i="13"/>
  <c r="F46" i="13" s="1"/>
  <c r="F47" i="13" l="1"/>
  <c r="F48" i="13"/>
  <c r="F52" i="13"/>
  <c r="F45" i="13"/>
  <c r="F50" i="13"/>
  <c r="E54" i="13"/>
  <c r="F49" i="13"/>
  <c r="F51" i="13"/>
</calcChain>
</file>

<file path=xl/sharedStrings.xml><?xml version="1.0" encoding="utf-8"?>
<sst xmlns="http://schemas.openxmlformats.org/spreadsheetml/2006/main" count="517" uniqueCount="267">
  <si>
    <t>METODOLOGÍA MCDM-LCA PARA SELECCIÓN DE MATERIALES SOSTENIBLES</t>
  </si>
  <si>
    <t>TABLA I – Datos de entrada para los tres métodos de ponderación (N = 34 fuentes)</t>
  </si>
  <si>
    <t>Criterio</t>
  </si>
  <si>
    <t>Score Total</t>
  </si>
  <si>
    <t>CO₂ / GWP</t>
  </si>
  <si>
    <t>Energía Emb.</t>
  </si>
  <si>
    <t>Desempeño Téc.</t>
  </si>
  <si>
    <t>Costo (LCC)</t>
  </si>
  <si>
    <t>Salud / Eco.</t>
  </si>
  <si>
    <t>TOTAL</t>
  </si>
  <si>
    <t>M1 – FRECUENCIA PONDERADA</t>
  </si>
  <si>
    <t>Σ Score Total</t>
  </si>
  <si>
    <t>M1 (%)</t>
  </si>
  <si>
    <t>M2 – ENTROPÍA DE SHANNON</t>
  </si>
  <si>
    <t>Fórmula: Hi = -Σ pij·ln(pij) | wi = (Hmax – Hi) / Σ(Hmax – Hj)</t>
  </si>
  <si>
    <t>p(●)=●/34</t>
  </si>
  <si>
    <t>p(–)=–/34</t>
  </si>
  <si>
    <t>-p(●)·ln(p(●))</t>
  </si>
  <si>
    <t>-p(–)·ln(p(–))</t>
  </si>
  <si>
    <t>Hi (Entropía)</t>
  </si>
  <si>
    <t>M2 (%)</t>
  </si>
  <si>
    <t>M3 – AHP SIMPLIFICADO (Analytical Hierarchy Process)</t>
  </si>
  <si>
    <t>Matriz de comparación por pares (aij = ●i / ●j)</t>
  </si>
  <si>
    <t>CO₂/GWP</t>
  </si>
  <si>
    <t>Energ.Emb</t>
  </si>
  <si>
    <t>Desem.Téc</t>
  </si>
  <si>
    <t>Costo LCC</t>
  </si>
  <si>
    <t>Salud/Eco</t>
  </si>
  <si>
    <t>Suma fila</t>
  </si>
  <si>
    <t>M3 (%)</t>
  </si>
  <si>
    <t>PESO FINAL COMBINADO – w_final = 0.40·M1 + 0.30·M2 + 0.30·M3</t>
  </si>
  <si>
    <t>Ponderación M1 →</t>
  </si>
  <si>
    <t>Ponderación M2 →</t>
  </si>
  <si>
    <t>Ponderación M3 →</t>
  </si>
  <si>
    <t>Suma →</t>
  </si>
  <si>
    <t>M1 – Frec.Ponderada</t>
  </si>
  <si>
    <t>M2 – Entropía Shannon</t>
  </si>
  <si>
    <t>M3 – AHP Simplificado</t>
  </si>
  <si>
    <t>PESO FINAL (combinado)</t>
  </si>
  <si>
    <t>TABLA III – Matriz MCDM de 34 fuentes con pesos estadísticamente calculados por criterio</t>
  </si>
  <si>
    <t>#</t>
  </si>
  <si>
    <t>Autores / Referencia</t>
  </si>
  <si>
    <t>Aporte a la Tesis</t>
  </si>
  <si>
    <t>BLOQUE BASE – FUENTES ORIGINALES (Objetivo Específico 1)</t>
  </si>
  <si>
    <t>Adesope, Ostręga &amp; Borowski (2025)</t>
  </si>
  <si>
    <t>●</t>
  </si>
  <si>
    <t>BIM-LCA integrado para reducción de huella de carbono.</t>
  </si>
  <si>
    <t>Arab, Raouf, Rahal et al. (2025)</t>
  </si>
  <si>
    <t>LCA en edificación industrial con OneClick LCA.</t>
  </si>
  <si>
    <t>Takano &amp; Aiki (2025)</t>
  </si>
  <si>
    <t>MCDA multicriterio para selección sostenible.</t>
  </si>
  <si>
    <t>Dinh, Dinh &amp; Götze (2020)</t>
  </si>
  <si>
    <t>Integración de criterios de sostenibilidad en selección.</t>
  </si>
  <si>
    <t>Elshoubaky, Elbeltagi et al. (2024)</t>
  </si>
  <si>
    <t>Dinámica de sistemas + TOPSIS. Valida técnica MCDM.</t>
  </si>
  <si>
    <t>Huang, Lin, Chen et al. (2025)</t>
  </si>
  <si>
    <t>Impacto ambiental y huella de carbono vía LCA.</t>
  </si>
  <si>
    <t>Ugural, Ozyilmaz &amp; Burgan (2024)</t>
  </si>
  <si>
    <t>LCA en edificios aeroportuarios sostenibles.</t>
  </si>
  <si>
    <t>Ben Rjiba, Tóth-Nagy et al. (2026)</t>
  </si>
  <si>
    <t>Evaluación ambiental comparativa de materiales.</t>
  </si>
  <si>
    <t>Demirtürk, Ahıskalı et al. (2025)</t>
  </si>
  <si>
    <t>Análisis multicriterio de polvo de granito en compuestos.</t>
  </si>
  <si>
    <t>Mekky, Ibrahim et al. (2025)</t>
  </si>
  <si>
    <t>TOPSIS para biochar en concreto: beneficios ambientales.</t>
  </si>
  <si>
    <t>Rey-Álvarez, Silvestre et al. (2025)</t>
  </si>
  <si>
    <t>Evaluación comparativa de toxicidad en materiales vía LCA.</t>
  </si>
  <si>
    <t>Silva, Figueiredo, Najjar et al. (2024)</t>
  </si>
  <si>
    <t>LCA + optimización multicriterio en concreto reciclado.</t>
  </si>
  <si>
    <t>Luque Castillo &amp; Yepes (2025)</t>
  </si>
  <si>
    <t>LCA en vivienda social: enfoque multicriterio integral.</t>
  </si>
  <si>
    <t>BLOQUE A – MCDM AVANZADO (Decisión real con TOPSIS / MCDA)</t>
  </si>
  <si>
    <t>Bhattarai, Bhattarai et al. (2024)</t>
  </si>
  <si>
    <t>LCA de edificios residenciales en Nepal.</t>
  </si>
  <si>
    <t>Ungureanu, Sola, Neri et al. (2025)</t>
  </si>
  <si>
    <t>Emisiones CO₂ en etapa de cocción de cerámicos.</t>
  </si>
  <si>
    <t>Kocaer (2025)</t>
  </si>
  <si>
    <t>Evaluación ambiental en impresión 3D.</t>
  </si>
  <si>
    <t>Serrano-Baena, Ruiz-Díaz et al. (2025)</t>
  </si>
  <si>
    <t>MLCAQ + BIM para edificios complejos. Metodología híbrida.</t>
  </si>
  <si>
    <t>Shang, Shi, Li et al. (2025)</t>
  </si>
  <si>
    <t>Sinergia costo-carbono en paja reciclada como material.</t>
  </si>
  <si>
    <t>BLOQUE B – LCA + ENERGÍA EMBEBIDA</t>
  </si>
  <si>
    <t>Javan, Chaggar, Darestani et al. (2025)</t>
  </si>
  <si>
    <t>Trabajabilidad del concreto geopolimérico.</t>
  </si>
  <si>
    <t>Qi, Yuan, Shang et al. (2025)</t>
  </si>
  <si>
    <t>Diseño y LCA de bloques de tierra estabilizada con residuos.</t>
  </si>
  <si>
    <t>Janpetch, Trakolkul et al. (2025)</t>
  </si>
  <si>
    <t>Emisiones y desempeño térmico de ladrillos sin cocción.</t>
  </si>
  <si>
    <t>Duan, Omrany &amp; Zuo (2024)</t>
  </si>
  <si>
    <t>GHG embebidos en construcción de madera masiva.</t>
  </si>
  <si>
    <t>BLOQUE C – TÉCNICO + OPTIMIZACIÓN</t>
  </si>
  <si>
    <t>Li Ren, Ru, Xiao &amp; Ju (2024)</t>
  </si>
  <si>
    <t>Optimización multicriterio con énfasis en energía y ecosistemas.</t>
  </si>
  <si>
    <t>Ben Rjiba et al. – vidrio/biochar (2026)</t>
  </si>
  <si>
    <t>Evaluación de vidrio reciclado y biochar. Criterio técnico.</t>
  </si>
  <si>
    <t>BLOQUE D – SALUD / TOXICIDAD / ECOSISTEMAS (Frontera técnica 2024-2026)</t>
  </si>
  <si>
    <t>Vite &amp; Alipour (2023)</t>
  </si>
  <si>
    <t>Integración BIM-LCA comparativa de materiales.</t>
  </si>
  <si>
    <t>Zhang, Liu &amp; Wang (2024)</t>
  </si>
  <si>
    <t>AHP-TOPSIS + big data para selección sostenible.</t>
  </si>
  <si>
    <t>Hernández, Muñoz &amp; Castro (2020)</t>
  </si>
  <si>
    <t>Big data + MCDM en construcción sostenible.</t>
  </si>
  <si>
    <t>Yu, Zhang &amp; Wang (2022)</t>
  </si>
  <si>
    <t>Selección de materiales con MCDM y Big Data.</t>
  </si>
  <si>
    <t>Liao &amp; Zhang (2024)</t>
  </si>
  <si>
    <t>Ciudades inteligentes y economía circular.</t>
  </si>
  <si>
    <t>Chen (2021)</t>
  </si>
  <si>
    <t>Optimización de selección con analítica ambiental.</t>
  </si>
  <si>
    <t>Zhang, Li &amp; Zhao (2021)</t>
  </si>
  <si>
    <t>LCA con big data de materiales reciclados urbanos.</t>
  </si>
  <si>
    <t>Ma, Zhang &amp; Wang (2021)</t>
  </si>
  <si>
    <t>Emisiones de ciclo de vida: meta-análisis global.</t>
  </si>
  <si>
    <t>Ding, Xiao, Wu &amp; Zhang (2022)</t>
  </si>
  <si>
    <t>Revisión integral de huella de carbono con big data.</t>
  </si>
  <si>
    <t>Correia, Silva &amp; Santos (2021)</t>
  </si>
  <si>
    <t>Desempeño ambiental del reciclaje de RCD vía LCA.</t>
  </si>
  <si>
    <t>Conteo ●</t>
  </si>
  <si>
    <t>DATOS DE ENTRADA – MATERIALES SOSTENIBLES (8 candidatos)</t>
  </si>
  <si>
    <t>Valores de desempeño por criterio extraídos de literatura 2020-2026 | N=34 fuentes | CO₂: kg CO₂-eq/ton  |  Energía: MJ/kg  |  Técnico: índice 0-10  |  Costo LCC: índice 1-10  |  Salud/Eco: índice 1-5</t>
  </si>
  <si>
    <t>Material</t>
  </si>
  <si>
    <t>Disponibilidad
Mercado Local (CO)</t>
  </si>
  <si>
    <t>Alta - disponible en Colombia (RCD urbano)</t>
  </si>
  <si>
    <t>Parcial - requiere industrialización local</t>
  </si>
  <si>
    <t>Bambú Estructural</t>
  </si>
  <si>
    <t>Sí - cultivo nacional abundante</t>
  </si>
  <si>
    <t>Concreto con Biochar</t>
  </si>
  <si>
    <t>Parcial - producción emergente</t>
  </si>
  <si>
    <t>Sí - industria reciclaje local</t>
  </si>
  <si>
    <t>No masiva - cultivo restringido en CO</t>
  </si>
  <si>
    <t>Sí - subproducto agroindustrial CO</t>
  </si>
  <si>
    <t>Sí - industria reciclaje activa en CO</t>
  </si>
  <si>
    <t>M1 – FRECUENCIA PONDERADA DE MATERIALES</t>
  </si>
  <si>
    <t>M2 – ENTROPÍA DE SHANNON DE MATERIALES</t>
  </si>
  <si>
    <t>p(●)</t>
  </si>
  <si>
    <t>p(–)</t>
  </si>
  <si>
    <t>-p●·ln(p●)</t>
  </si>
  <si>
    <t>-p–·ln(p–)</t>
  </si>
  <si>
    <t>M3 – AHP SIMPLIFICADO DE MATERIALES</t>
  </si>
  <si>
    <t>PESO COMBINADO DE MATERIALES – w_final = 0.40·M1 + 0.30·M2 + 0.30·M3</t>
  </si>
  <si>
    <t>Pond. M1 →</t>
  </si>
  <si>
    <t>Pond. M2 →</t>
  </si>
  <si>
    <t>Pond. M3 →</t>
  </si>
  <si>
    <t>M1 – Frec.Pond.</t>
  </si>
  <si>
    <t>M2 – Entropía</t>
  </si>
  <si>
    <t>M3 – AHP</t>
  </si>
  <si>
    <t>PESO FINAL MATERIAL (%)</t>
  </si>
  <si>
    <t>PESOS →</t>
  </si>
  <si>
    <t>TOPSIS – RANKING OBJETIVO DE MATERIALES</t>
  </si>
  <si>
    <t>Technique for Order Preference by Similarity to Ideal Solution | Pasos: 1) Normalizar  2) Ponderar  3) Solución ideal/anti-ideal  4) Distancias  5) Índice Ci</t>
  </si>
  <si>
    <t>PASO 1 – NORMALIZACIÓN VECTORIAL: rij = xij / √(Σ xij²)</t>
  </si>
  <si>
    <t>Dirección →</t>
  </si>
  <si>
    <t>Peso criterio →</t>
  </si>
  <si>
    <t>MIN</t>
  </si>
  <si>
    <t>MAX</t>
  </si>
  <si>
    <t>(de hoja 5)</t>
  </si>
  <si>
    <t>PASO 2 – MATRIZ PONDERADA: vij = wj × rij</t>
  </si>
  <si>
    <t>PASO 3 – SOLUCIÓN IDEAL (A+) Y ANTI-IDEAL (A−) | MIN→menor vij es mejor | MAX→mayor vij es mejor</t>
  </si>
  <si>
    <t>A+ (Ideal)</t>
  </si>
  <si>
    <t>Mejor valor por criterio</t>
  </si>
  <si>
    <t>A− (Anti-Ideal)</t>
  </si>
  <si>
    <t>Peor valor por criterio</t>
  </si>
  <si>
    <t>PASO 4 – DISTANCIAS: Di+ = √Σ(vij−Aj+)²  |  Di− = √Σ(vij−Aj−)²</t>
  </si>
  <si>
    <t>Di+ (dist. a ideal)</t>
  </si>
  <si>
    <t>Di− (dist. a anti-ideal)</t>
  </si>
  <si>
    <t>PASO 5 – ÍNDICE DE CLOSENESS: Ci = Di− / (Di+ + Di−) | Ci → 1 = mejor | Ci → 0 = peor</t>
  </si>
  <si>
    <t>Di+</t>
  </si>
  <si>
    <t>Di−</t>
  </si>
  <si>
    <t>Ci (Índice)</t>
  </si>
  <si>
    <t>RANKING</t>
  </si>
  <si>
    <t>% Aparece en estudios</t>
  </si>
  <si>
    <t>🏆 MEJOR MATERIAL (TOPSIS) →</t>
  </si>
  <si>
    <t>JUSTIFICACIÓN SÓLIDA DE SELECCIÓN DE MATERIALES</t>
  </si>
  <si>
    <t>Consolidación de evidencia: frecuencia en literatura + desempeño MCDM + viabilidad local + pesos de criterios</t>
  </si>
  <si>
    <t>Concreto con RCA (Agregados Reciclados)</t>
  </si>
  <si>
    <t xml:space="preserve">  ✓  Aparece en 18/34 fuentes con cobertura fuerte (53% de estudios).</t>
  </si>
  <si>
    <t xml:space="preserve">  ✓  Reduce CO₂ ~30% vs. concreto convencional (320 vs ~480 kg CO₂-eq/ton).</t>
  </si>
  <si>
    <t xml:space="preserve">  ✓  Alta disponibilidad en mercado colombiano (RCD urbano).</t>
  </si>
  <si>
    <t xml:space="preserve">  ✓  Mayor peso M1 (freq. ponderada) por su alta presencia en literatura.</t>
  </si>
  <si>
    <t xml:space="preserve">  ✓  Soportado por [Adesope 2025, Arab 2025, Silva 2024, Luque 2025].</t>
  </si>
  <si>
    <t>Geopolímeros (base escoria/ceniza)</t>
  </si>
  <si>
    <t xml:space="preserve">  ✓  Aparece en 14/34 fuentes fuertes (41% de estudios).</t>
  </si>
  <si>
    <t xml:space="preserve">  ✓  Reducción hasta 80% de CO₂ frente al cemento Portland (criterio peso 24.47%).</t>
  </si>
  <si>
    <t xml:space="preserve">  ✓  Alta resistencia química/mecánica — Desempeño Técnico (peso 20.96%).</t>
  </si>
  <si>
    <t xml:space="preserve">  ✓  Disponibilidad parcial en Colombia: requiere escoria siderúrgica o ceniza volante.</t>
  </si>
  <si>
    <t xml:space="preserve">  ✓  Soportado por [Ugural 2024, Demirtürk 2025, Ben Rjiba 2026].</t>
  </si>
  <si>
    <t xml:space="preserve">  ✓  Aparece en 10/34 fuentes fuertes (29% de estudios).</t>
  </si>
  <si>
    <t xml:space="preserve">  ✓  CO₂ más bajo del conjunto (~50 kg CO₂-eq/ton). Material carbono-negativo.</t>
  </si>
  <si>
    <t xml:space="preserve">  ✓  Colombia: productor natural con alta disponibilidad rural/regional.</t>
  </si>
  <si>
    <t xml:space="preserve">  ✓  Peso Salud/Eco (13.51%) favorecido: mínimo impacto ecosistémico.</t>
  </si>
  <si>
    <t xml:space="preserve">  ✓  Soportado por [Takano 2025, Sharma 2021].</t>
  </si>
  <si>
    <t xml:space="preserve">  ✓  Aparece en 8/34 fuentes fuertes (24% de estudios).</t>
  </si>
  <si>
    <t xml:space="preserve">  ✓  Captura de carbono durante producción: CO₂ neto ~180 kg CO₂-eq/ton.</t>
  </si>
  <si>
    <t xml:space="preserve">  ✓  Frontera técnica emergente 2024-2026: alineado con criterio Salud/Eco.</t>
  </si>
  <si>
    <t xml:space="preserve">  ✓  Disponibilidad parcial — producción emergente en Colombia.</t>
  </si>
  <si>
    <t xml:space="preserve">  ✓  Soportado por [Ben Rjiba 2026, Mekky 2025, Gupta 2021].</t>
  </si>
  <si>
    <t>Vidrio Reciclado (en concreto/morteros)</t>
  </si>
  <si>
    <t xml:space="preserve">  ✓  Aparece en 9/34 fuentes fuertes (26% de estudios).</t>
  </si>
  <si>
    <t xml:space="preserve">  ✓  Reduce residuos sólidos industriales. CO₂ moderado (~280 kg CO₂-eq/ton).</t>
  </si>
  <si>
    <t xml:space="preserve">  ✓  Alta disponibilidad en industria de reciclaje colombiana.</t>
  </si>
  <si>
    <t xml:space="preserve">  ✓  Integración sencilla en normativa de construcción existente.</t>
  </si>
  <si>
    <t xml:space="preserve">  ✓  Soportado por [Ben Rjiba 2026, Aliabdo 2021].</t>
  </si>
  <si>
    <t>Hempcrete (Cáñamo + Cal)</t>
  </si>
  <si>
    <t xml:space="preserve">  ✓  Aparece en 6/34 fuentes fuertes (18% de estudios).</t>
  </si>
  <si>
    <t xml:space="preserve">  ✓  Carbono NEGATIVO: captura más CO₂ del que emite durante su ciclo de vida.</t>
  </si>
  <si>
    <t xml:space="preserve">  ✓  Excelente aislamiento térmico (criterio Energía Emb. peso 21.88%).</t>
  </si>
  <si>
    <t xml:space="preserve">  ✓  LIMITANTE: cultivo restringido en Colombia — disponibilidad no masiva.</t>
  </si>
  <si>
    <t xml:space="preserve">  ✓  Soportado por [Dinh 2020, Arrigoni 2021].</t>
  </si>
  <si>
    <t>Ceniza de Cáscara de Arroz (RHA)</t>
  </si>
  <si>
    <t xml:space="preserve">  ✓  Aparece en 7/34 fuentes fuertes (21% de estudios).</t>
  </si>
  <si>
    <t xml:space="preserve">  ✓  Valorización de residuo agroindustrial colombiano: bajo impacto ambiental.</t>
  </si>
  <si>
    <t xml:space="preserve">  ✓  Alta disponibilidad en regiones arroceras (Meta, Tolima, Llanos).</t>
  </si>
  <si>
    <t xml:space="preserve">  ✓  Baja permeabilidad y alta durabilidad — contribuye al criterio Técnico.</t>
  </si>
  <si>
    <t xml:space="preserve">  ✓  Soportado por [Karim 2021, Ben Rjiba 2026].</t>
  </si>
  <si>
    <t>Fibras Recicladas (Plástico/Polímero)</t>
  </si>
  <si>
    <t xml:space="preserve">  ✓  Reduce residuos plásticos urbanos. Disponibilidad alta en contexto colombiano.</t>
  </si>
  <si>
    <t xml:space="preserve">  ✓  Mejora resistencia a tracción y control de fisuración en concreto.</t>
  </si>
  <si>
    <t xml:space="preserve">  ✓  CO₂ moderado (~240 kg CO₂-eq/ton), impacto Salud/Eco mayor (4.5).</t>
  </si>
  <si>
    <t xml:space="preserve">  ✓  Soportado por [Demirtürk 2025, Yin 2020].</t>
  </si>
  <si>
    <t>RESUMEN: CRITERIOS PONDERADOS × MATERIALES – Marco de justificación objetivo</t>
  </si>
  <si>
    <t>Peso Final</t>
  </si>
  <si>
    <t>Material(es) que lo cumplen MEJOR</t>
  </si>
  <si>
    <t>Evidencia</t>
  </si>
  <si>
    <t>Bambú, Hempcrete, Biochar (carbono negativo/mínimo CO₂)</t>
  </si>
  <si>
    <t>30/34 fuentes con cobertura fuerte. Eje central de descarbonización.</t>
  </si>
  <si>
    <t>Bambú, Hempcrete, RHA (baja energía de producción)</t>
  </si>
  <si>
    <t>Alta variabilidad M2 Shannon. 16/34 fuentes fuertes.</t>
  </si>
  <si>
    <t>Geopolímeros, RCA, Biochar (resistencia mecánica documentada)</t>
  </si>
  <si>
    <t>Prerrequisito normativo sismo-resistencia. 14/34 fuentes.</t>
  </si>
  <si>
    <t>RCA, Vidrio Reciclado, RHA (bajos costos / disponibilidad local)</t>
  </si>
  <si>
    <t>Determinante para viabilidad en escala urbana colombiana.</t>
  </si>
  <si>
    <t>Bambú, Hempcrete, Biochar (mínimo impacto toxicológico)</t>
  </si>
  <si>
    <t>Indicador frontera 2024-2026: DALYs, toxicidad, biodiversidad.</t>
  </si>
  <si>
    <t>CO₂/GWP es el criterio dominante en los tres métodos, especialmente en AHP (39.5%)</t>
  </si>
  <si>
    <t>Bambú Estructural obtiene el mayor Ci (0.850) y Fibras Recicladas el menor (0.356). Las barras reflejan la cercanía a la solución ideal.</t>
  </si>
  <si>
    <t>Energía Embebida</t>
  </si>
  <si>
    <t>Cantidad menciones</t>
  </si>
  <si>
    <t>Total</t>
  </si>
  <si>
    <t>–</t>
  </si>
  <si>
    <t>Score</t>
  </si>
  <si>
    <t>Emisiones de CO₂ equivalente – Potencial de Calentamiento Global (GWP)</t>
  </si>
  <si>
    <t>Desempeño Técnico y Mecánico</t>
  </si>
  <si>
    <t>Costo del Ciclo de Vida (Life Cycle Cost – LCC)</t>
  </si>
  <si>
    <t>Impacto en Salud Humana y Ecosistemas (toxicidad y biodiversidad)</t>
  </si>
  <si>
    <t>Energía Embebida
21.88%</t>
  </si>
  <si>
    <t>CO₂ (GWP)Emisiones de CO₂ equivalente – Potencial de Calentamiento Global (GWP) 
24.47%</t>
  </si>
  <si>
    <t>Desempeño Técnico y Mecánico
20.96%</t>
  </si>
  <si>
    <t>Costo del Ciclo de Vida (Life Cycle Cost – LCC)
19.17%</t>
  </si>
  <si>
    <t>Impacto en Salud Humana y Ecosistemas (toxicidad y biodiversidad)
13.51%</t>
  </si>
  <si>
    <t>Concreto con Agregados de Concreto Reciclado (Residuos de Construcción y Demolición – RCD)</t>
  </si>
  <si>
    <t>Geopolímeros Activados Alcalinamente (base escoria de alto horno y/o ceniza volante)</t>
  </si>
  <si>
    <t>Concreto con Biochar (carbón vegetal pirolizado como sustituto parcial de cemento)</t>
  </si>
  <si>
    <t>Vidrio Reciclado Triturado como Sustituto de Árido Fino en Concreto y Morteros</t>
  </si>
  <si>
    <t>Hempcrete: Biocompuesto de Cáñamo Industrial y Cal Hidráulica</t>
  </si>
  <si>
    <t>Ceniza de Cáscara de Arroz (Rice Husk Ash - RHA)</t>
  </si>
  <si>
    <t>Fibras de Refuerzo de Plástico Reciclado</t>
  </si>
  <si>
    <t>Emisiones de CO₂ equivalente – Potencial de Calentamiento Global (GWP)
(kg CO₂-eq/ton)</t>
  </si>
  <si>
    <t>Energía Embebida
(MJ/kg)</t>
  </si>
  <si>
    <t>Concreto con Agregados de Concreto Reciclado</t>
  </si>
  <si>
    <t>Geopolímeros Activados Alcalinamente</t>
  </si>
  <si>
    <t>Bambú Estructural Laminado</t>
  </si>
  <si>
    <t>Vidrio Reciclado Triturado</t>
  </si>
  <si>
    <t>Ceniza de Cáscara de Arroz</t>
  </si>
  <si>
    <t>Emisiones de CO₂ equivalente</t>
  </si>
  <si>
    <t>Costo del Ciclo de Vida</t>
  </si>
  <si>
    <t>Impacto en Salud Humana y Ecosistemas</t>
  </si>
  <si>
    <t>● = Mencionado en la literatura (profundidad analítica)   |   – = No abordado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</si>
</sst>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00"/>
    <numFmt numFmtId="167" formatCode="0.0%"/>
  </numFmts>
  <fonts count="40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1F3864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i/>
      <sz val="9"/>
      <color rgb="FF595959"/>
      <name val="Arial"/>
      <charset val="1"/>
    </font>
    <font>
      <b/>
      <sz val="12"/>
      <color rgb="FFFFFFFF"/>
      <name val="Arial"/>
      <charset val="1"/>
    </font>
    <font>
      <i/>
      <sz val="9"/>
      <color rgb="FFFFFFFF"/>
      <name val="Arial"/>
      <charset val="1"/>
    </font>
    <font>
      <sz val="10"/>
      <color rgb="FF1E6B3C"/>
      <name val="Arial"/>
      <charset val="1"/>
    </font>
    <font>
      <i/>
      <sz val="9"/>
      <color rgb="FF1E6B3C"/>
      <name val="Arial"/>
      <charset val="1"/>
    </font>
    <font>
      <b/>
      <sz val="11"/>
      <color rgb="FF1F3864"/>
      <name val="Arial"/>
      <charset val="1"/>
    </font>
    <font>
      <i/>
      <sz val="9"/>
      <color rgb="FF1F3864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10"/>
      <color rgb="FF1E6B3C"/>
      <name val="Arial"/>
      <charset val="1"/>
    </font>
    <font>
      <b/>
      <sz val="9"/>
      <color rgb="FF000000"/>
      <name val="Arial"/>
      <charset val="1"/>
    </font>
    <font>
      <sz val="8"/>
      <color rgb="FF000000"/>
      <name val="Arial"/>
      <charset val="1"/>
    </font>
    <font>
      <sz val="9"/>
      <color rgb="FF1F3864"/>
      <name val="Arial"/>
      <charset val="1"/>
    </font>
    <font>
      <sz val="9"/>
      <color rgb="FF595959"/>
      <name val="Arial"/>
      <charset val="1"/>
    </font>
    <font>
      <b/>
      <sz val="8"/>
      <color rgb="FF1F3864"/>
      <name val="Arial"/>
      <charset val="1"/>
    </font>
    <font>
      <b/>
      <sz val="9"/>
      <color rgb="FF1F3864"/>
      <name val="Arial"/>
      <charset val="1"/>
    </font>
    <font>
      <b/>
      <sz val="10"/>
      <color rgb="FF2E5796"/>
      <name val="Arial"/>
      <charset val="1"/>
    </font>
    <font>
      <b/>
      <sz val="10"/>
      <color rgb="FFC00000"/>
      <name val="Arial"/>
      <charset val="1"/>
    </font>
    <font>
      <sz val="10"/>
      <color rgb="FFC00000"/>
      <name val="Arial"/>
      <charset val="1"/>
    </font>
    <font>
      <b/>
      <sz val="12"/>
      <color rgb="FF1F3864"/>
      <name val="Arial"/>
      <charset val="1"/>
    </font>
    <font>
      <b/>
      <sz val="11"/>
      <color rgb="FFFFFFFF"/>
      <name val="Arial"/>
      <charset val="1"/>
    </font>
    <font>
      <sz val="9"/>
      <color rgb="FF1E6B3C"/>
      <name val="Arial"/>
      <charset val="1"/>
    </font>
    <font>
      <i/>
      <sz val="9"/>
      <color rgb="FF000000"/>
      <name val="Arial"/>
      <charset val="1"/>
    </font>
    <font>
      <sz val="10"/>
      <color rgb="FF3D3D3A"/>
      <name val="Segoe UI"/>
      <family val="2"/>
    </font>
    <font>
      <sz val="11"/>
      <color theme="1"/>
      <name val="Calibri"/>
      <family val="2"/>
      <charset val="1"/>
    </font>
    <font>
      <b/>
      <i/>
      <sz val="10"/>
      <color theme="0"/>
      <name val="Arial"/>
      <family val="2"/>
    </font>
    <font>
      <b/>
      <sz val="12"/>
      <color rgb="FFFFFFFF"/>
      <name val="Arial"/>
      <family val="2"/>
    </font>
    <font>
      <i/>
      <sz val="9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11"/>
      <color rgb="FF1E6B3C"/>
      <name val="Arial"/>
      <family val="2"/>
    </font>
    <font>
      <sz val="11"/>
      <color rgb="FF7F6000"/>
      <name val="Arial"/>
      <family val="2"/>
    </font>
    <font>
      <b/>
      <sz val="10"/>
      <color rgb="FFFFFFFF"/>
      <name val="Arial"/>
      <family val="2"/>
    </font>
    <font>
      <b/>
      <sz val="10"/>
      <color rgb="FF1E6B3C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rgb="FF1F3864"/>
        <bgColor rgb="FF2E5796"/>
      </patternFill>
    </fill>
    <fill>
      <patternFill patternType="solid">
        <fgColor rgb="FF2E5796"/>
        <bgColor rgb="FF1F7391"/>
      </patternFill>
    </fill>
    <fill>
      <patternFill patternType="solid">
        <fgColor rgb="FFBDD7EE"/>
        <bgColor rgb="FFC6EFCE"/>
      </patternFill>
    </fill>
    <fill>
      <patternFill patternType="solid">
        <fgColor rgb="FFDEEAF1"/>
        <bgColor rgb="FFF2F2F2"/>
      </patternFill>
    </fill>
    <fill>
      <patternFill patternType="solid">
        <fgColor rgb="FFF2F2F2"/>
        <bgColor rgb="FFDEEAF1"/>
      </patternFill>
    </fill>
    <fill>
      <patternFill patternType="solid">
        <fgColor rgb="FFC6EFCE"/>
        <bgColor rgb="FFDEEAF1"/>
      </patternFill>
    </fill>
    <fill>
      <patternFill patternType="solid">
        <fgColor rgb="FFFFFFFF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4B942"/>
        <bgColor rgb="FFC9A227"/>
      </patternFill>
    </fill>
    <fill>
      <patternFill patternType="solid">
        <fgColor rgb="FFFFF2CC"/>
        <bgColor rgb="FFF2F2F2"/>
      </patternFill>
    </fill>
    <fill>
      <patternFill patternType="solid">
        <fgColor rgb="FFFFCCCC"/>
        <bgColor rgb="FFFFF2CC"/>
      </patternFill>
    </fill>
    <fill>
      <patternFill patternType="solid">
        <fgColor rgb="FF1F7391"/>
        <bgColor rgb="FF008080"/>
      </patternFill>
    </fill>
    <fill>
      <patternFill patternType="solid">
        <fgColor rgb="FF1E6B3C"/>
        <bgColor rgb="FF1F7391"/>
      </patternFill>
    </fill>
    <fill>
      <patternFill patternType="solid">
        <fgColor rgb="FF4E9A6E"/>
        <bgColor rgb="FF808080"/>
      </patternFill>
    </fill>
    <fill>
      <patternFill patternType="solid">
        <fgColor rgb="FF7B4EA8"/>
        <bgColor rgb="FF7030A0"/>
      </patternFill>
    </fill>
    <fill>
      <patternFill patternType="solid">
        <fgColor rgb="FFB85C00"/>
        <bgColor rgb="FF7F6000"/>
      </patternFill>
    </fill>
    <fill>
      <patternFill patternType="solid">
        <fgColor rgb="FFC68B2F"/>
        <bgColor rgb="FFC9A227"/>
      </patternFill>
    </fill>
    <fill>
      <patternFill patternType="solid">
        <fgColor rgb="FF7030A0"/>
        <bgColor rgb="FF7B4EA8"/>
      </patternFill>
    </fill>
    <fill>
      <patternFill patternType="solid">
        <fgColor rgb="FFC9A227"/>
        <bgColor rgb="FFC68B2F"/>
      </patternFill>
    </fill>
    <fill>
      <patternFill patternType="solid">
        <fgColor theme="0"/>
        <bgColor rgb="FFC6EFCE"/>
      </patternFill>
    </fill>
    <fill>
      <patternFill patternType="solid">
        <fgColor theme="0"/>
        <bgColor rgb="FFDEEAF1"/>
      </patternFill>
    </fill>
    <fill>
      <patternFill patternType="solid">
        <fgColor rgb="FF002060"/>
        <bgColor rgb="FFDEEAF1"/>
      </patternFill>
    </fill>
    <fill>
      <patternFill patternType="solid">
        <fgColor theme="0"/>
        <bgColor rgb="FFFFFF00"/>
      </patternFill>
    </fill>
    <fill>
      <patternFill patternType="solid">
        <fgColor rgb="FF1F3864"/>
        <bgColor rgb="FF2C4D75"/>
      </patternFill>
    </fill>
    <fill>
      <patternFill patternType="solid">
        <fgColor rgb="FF2E5796"/>
        <bgColor rgb="FF2C4D75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1F7391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2E5796"/>
      </patternFill>
    </fill>
  </fills>
  <borders count="10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0" fillId="0" borderId="0" applyFont="0" applyFill="0" applyBorder="0" applyAlignment="0" applyProtection="0"/>
  </cellStyleXfs>
  <cellXfs count="126">
    <xf numFmtId="0" fontId="0" fillId="0" borderId="0" xfId="0"/>
    <xf numFmtId="0" fontId="0" fillId="3" borderId="0" xfId="0" applyFill="1"/>
    <xf numFmtId="0" fontId="3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64" fontId="9" fillId="7" borderId="2" xfId="0" applyNumberFormat="1" applyFont="1" applyFill="1" applyBorder="1" applyAlignment="1">
      <alignment horizontal="center" vertical="center" wrapText="1"/>
    </xf>
    <xf numFmtId="164" fontId="5" fillId="8" borderId="2" xfId="0" applyNumberFormat="1" applyFont="1" applyFill="1" applyBorder="1" applyAlignment="1">
      <alignment horizontal="center" vertical="center" wrapText="1"/>
    </xf>
    <xf numFmtId="10" fontId="4" fillId="9" borderId="2" xfId="0" applyNumberFormat="1" applyFont="1" applyFill="1" applyBorder="1" applyAlignment="1">
      <alignment horizontal="center" vertical="center" wrapText="1"/>
    </xf>
    <xf numFmtId="10" fontId="2" fillId="2" borderId="2" xfId="0" applyNumberFormat="1" applyFont="1" applyFill="1" applyBorder="1" applyAlignment="1">
      <alignment horizontal="center" vertical="center" wrapText="1"/>
    </xf>
    <xf numFmtId="165" fontId="5" fillId="6" borderId="2" xfId="0" applyNumberFormat="1" applyFont="1" applyFill="1" applyBorder="1" applyAlignment="1">
      <alignment horizontal="center" vertical="center" wrapText="1"/>
    </xf>
    <xf numFmtId="165" fontId="9" fillId="7" borderId="2" xfId="0" applyNumberFormat="1" applyFont="1" applyFill="1" applyBorder="1" applyAlignment="1">
      <alignment horizontal="center" vertical="center" wrapText="1"/>
    </xf>
    <xf numFmtId="165" fontId="5" fillId="8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0" fontId="9" fillId="8" borderId="2" xfId="0" applyNumberFormat="1" applyFont="1" applyFill="1" applyBorder="1" applyAlignment="1">
      <alignment horizontal="center" vertical="center" wrapText="1"/>
    </xf>
    <xf numFmtId="10" fontId="11" fillId="10" borderId="2" xfId="0" applyNumberFormat="1" applyFont="1" applyFill="1" applyBorder="1" applyAlignment="1">
      <alignment horizontal="center" vertical="center" wrapText="1"/>
    </xf>
    <xf numFmtId="10" fontId="9" fillId="6" borderId="2" xfId="0" applyNumberFormat="1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5" fillId="7" borderId="2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left" vertical="center" wrapText="1"/>
    </xf>
    <xf numFmtId="2" fontId="5" fillId="9" borderId="2" xfId="0" applyNumberFormat="1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left" vertical="center" wrapText="1"/>
    </xf>
    <xf numFmtId="0" fontId="17" fillId="6" borderId="2" xfId="0" applyFont="1" applyFill="1" applyBorder="1" applyAlignment="1">
      <alignment horizontal="left" vertical="center" wrapText="1"/>
    </xf>
    <xf numFmtId="1" fontId="5" fillId="8" borderId="2" xfId="0" applyNumberFormat="1" applyFont="1" applyFill="1" applyBorder="1" applyAlignment="1">
      <alignment horizontal="center" vertical="center" wrapText="1"/>
    </xf>
    <xf numFmtId="1" fontId="5" fillId="6" borderId="2" xfId="0" applyNumberFormat="1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 wrapText="1"/>
    </xf>
    <xf numFmtId="165" fontId="14" fillId="8" borderId="2" xfId="0" applyNumberFormat="1" applyFont="1" applyFill="1" applyBorder="1" applyAlignment="1">
      <alignment horizontal="center" vertical="center" wrapText="1"/>
    </xf>
    <xf numFmtId="165" fontId="14" fillId="6" borderId="2" xfId="0" applyNumberFormat="1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15" fillId="7" borderId="2" xfId="0" applyFont="1" applyFill="1" applyBorder="1" applyAlignment="1">
      <alignment horizontal="left" vertical="center" wrapText="1"/>
    </xf>
    <xf numFmtId="0" fontId="23" fillId="4" borderId="2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 wrapText="1"/>
    </xf>
    <xf numFmtId="0" fontId="21" fillId="5" borderId="2" xfId="0" applyFont="1" applyFill="1" applyBorder="1" applyAlignment="1">
      <alignment horizontal="center" vertical="center" wrapText="1"/>
    </xf>
    <xf numFmtId="0" fontId="18" fillId="5" borderId="2" xfId="0" applyFont="1" applyFill="1" applyBorder="1" applyAlignment="1">
      <alignment horizontal="left" vertical="center" wrapText="1"/>
    </xf>
    <xf numFmtId="10" fontId="22" fillId="5" borderId="2" xfId="0" applyNumberFormat="1" applyFont="1" applyFill="1" applyBorder="1" applyAlignment="1">
      <alignment horizontal="center" vertical="center" wrapText="1"/>
    </xf>
    <xf numFmtId="166" fontId="5" fillId="8" borderId="2" xfId="0" applyNumberFormat="1" applyFont="1" applyFill="1" applyBorder="1" applyAlignment="1">
      <alignment horizontal="center" vertical="center" wrapText="1"/>
    </xf>
    <xf numFmtId="166" fontId="5" fillId="6" borderId="2" xfId="0" applyNumberFormat="1" applyFont="1" applyFill="1" applyBorder="1" applyAlignment="1">
      <alignment horizontal="center" vertical="center" wrapText="1"/>
    </xf>
    <xf numFmtId="166" fontId="15" fillId="7" borderId="2" xfId="0" applyNumberFormat="1" applyFont="1" applyFill="1" applyBorder="1" applyAlignment="1">
      <alignment horizontal="center" vertical="center" wrapText="1"/>
    </xf>
    <xf numFmtId="0" fontId="23" fillId="12" borderId="2" xfId="0" applyFont="1" applyFill="1" applyBorder="1" applyAlignment="1">
      <alignment horizontal="center" vertical="center" wrapText="1"/>
    </xf>
    <xf numFmtId="0" fontId="23" fillId="12" borderId="2" xfId="0" applyFont="1" applyFill="1" applyBorder="1" applyAlignment="1">
      <alignment horizontal="left" vertical="center" wrapText="1"/>
    </xf>
    <xf numFmtId="166" fontId="23" fillId="12" borderId="2" xfId="0" applyNumberFormat="1" applyFont="1" applyFill="1" applyBorder="1" applyAlignment="1">
      <alignment horizontal="center" vertical="center" wrapText="1"/>
    </xf>
    <xf numFmtId="166" fontId="24" fillId="12" borderId="2" xfId="0" applyNumberFormat="1" applyFont="1" applyFill="1" applyBorder="1" applyAlignment="1">
      <alignment horizontal="center" vertical="center" wrapText="1"/>
    </xf>
    <xf numFmtId="166" fontId="9" fillId="7" borderId="2" xfId="0" applyNumberFormat="1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165" fontId="11" fillId="10" borderId="2" xfId="0" applyNumberFormat="1" applyFont="1" applyFill="1" applyBorder="1" applyAlignment="1">
      <alignment horizontal="center" vertical="center" wrapText="1"/>
    </xf>
    <xf numFmtId="0" fontId="25" fillId="4" borderId="2" xfId="0" applyFont="1" applyFill="1" applyBorder="1" applyAlignment="1">
      <alignment horizontal="center" vertical="center" wrapText="1"/>
    </xf>
    <xf numFmtId="167" fontId="5" fillId="8" borderId="2" xfId="0" applyNumberFormat="1" applyFont="1" applyFill="1" applyBorder="1" applyAlignment="1">
      <alignment horizontal="center" vertical="center" wrapText="1"/>
    </xf>
    <xf numFmtId="0" fontId="13" fillId="13" borderId="2" xfId="0" applyFont="1" applyFill="1" applyBorder="1" applyAlignment="1">
      <alignment horizontal="center" vertical="center" wrapText="1"/>
    </xf>
    <xf numFmtId="167" fontId="5" fillId="6" borderId="2" xfId="0" applyNumberFormat="1" applyFont="1" applyFill="1" applyBorder="1" applyAlignment="1">
      <alignment horizontal="center" vertical="center" wrapText="1"/>
    </xf>
    <xf numFmtId="0" fontId="13" fillId="14" borderId="2" xfId="0" applyFont="1" applyFill="1" applyBorder="1" applyAlignment="1">
      <alignment horizontal="center" vertical="center" wrapText="1"/>
    </xf>
    <xf numFmtId="0" fontId="13" fillId="15" borderId="2" xfId="0" applyFont="1" applyFill="1" applyBorder="1" applyAlignment="1">
      <alignment horizontal="center" vertical="center" wrapText="1"/>
    </xf>
    <xf numFmtId="0" fontId="13" fillId="16" borderId="2" xfId="0" applyFont="1" applyFill="1" applyBorder="1" applyAlignment="1">
      <alignment horizontal="center" vertical="center" wrapText="1"/>
    </xf>
    <xf numFmtId="0" fontId="13" fillId="17" borderId="2" xfId="0" applyFont="1" applyFill="1" applyBorder="1" applyAlignment="1">
      <alignment horizontal="center" vertical="center" wrapText="1"/>
    </xf>
    <xf numFmtId="0" fontId="13" fillId="18" borderId="2" xfId="0" applyFont="1" applyFill="1" applyBorder="1" applyAlignment="1">
      <alignment horizontal="center" vertical="center" wrapText="1"/>
    </xf>
    <xf numFmtId="0" fontId="13" fillId="19" borderId="2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10" fontId="3" fillId="10" borderId="2" xfId="0" applyNumberFormat="1" applyFont="1" applyFill="1" applyBorder="1" applyAlignment="1">
      <alignment horizontal="center" vertical="center" wrapText="1"/>
    </xf>
    <xf numFmtId="0" fontId="29" fillId="0" borderId="0" xfId="0" applyFont="1"/>
    <xf numFmtId="0" fontId="6" fillId="6" borderId="0" xfId="0" applyFont="1" applyFill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21" borderId="0" xfId="0" applyFont="1" applyFill="1" applyAlignment="1">
      <alignment horizontal="center" vertical="center" wrapText="1"/>
    </xf>
    <xf numFmtId="164" fontId="5" fillId="22" borderId="0" xfId="0" applyNumberFormat="1" applyFont="1" applyFill="1" applyAlignment="1">
      <alignment horizontal="center" vertical="center" wrapText="1"/>
    </xf>
    <xf numFmtId="167" fontId="5" fillId="7" borderId="1" xfId="1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10" fontId="2" fillId="2" borderId="6" xfId="0" applyNumberFormat="1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left" vertical="center" wrapText="1"/>
    </xf>
    <xf numFmtId="0" fontId="5" fillId="6" borderId="6" xfId="0" applyFont="1" applyFill="1" applyBorder="1" applyAlignment="1">
      <alignment horizontal="center" vertical="center" wrapText="1"/>
    </xf>
    <xf numFmtId="167" fontId="5" fillId="7" borderId="5" xfId="1" applyNumberFormat="1" applyFont="1" applyFill="1" applyBorder="1" applyAlignment="1">
      <alignment horizontal="center" vertical="center" wrapText="1"/>
    </xf>
    <xf numFmtId="167" fontId="31" fillId="23" borderId="8" xfId="0" applyNumberFormat="1" applyFont="1" applyFill="1" applyBorder="1" applyAlignment="1">
      <alignment horizontal="center" vertical="center" wrapText="1"/>
    </xf>
    <xf numFmtId="0" fontId="34" fillId="25" borderId="2" xfId="0" applyFont="1" applyFill="1" applyBorder="1" applyAlignment="1">
      <alignment horizontal="center" vertical="center" wrapText="1"/>
    </xf>
    <xf numFmtId="0" fontId="35" fillId="27" borderId="2" xfId="0" applyFont="1" applyFill="1" applyBorder="1" applyAlignment="1">
      <alignment horizontal="center" vertical="center" wrapText="1"/>
    </xf>
    <xf numFmtId="0" fontId="35" fillId="27" borderId="2" xfId="0" applyFont="1" applyFill="1" applyBorder="1" applyAlignment="1">
      <alignment horizontal="left" vertical="center" wrapText="1"/>
    </xf>
    <xf numFmtId="0" fontId="36" fillId="7" borderId="2" xfId="0" applyFont="1" applyFill="1" applyBorder="1" applyAlignment="1">
      <alignment horizontal="center" vertical="center" wrapText="1"/>
    </xf>
    <xf numFmtId="0" fontId="37" fillId="11" borderId="2" xfId="0" applyFont="1" applyFill="1" applyBorder="1" applyAlignment="1">
      <alignment horizontal="center" vertical="center" wrapText="1"/>
    </xf>
    <xf numFmtId="0" fontId="35" fillId="6" borderId="2" xfId="0" applyFont="1" applyFill="1" applyBorder="1" applyAlignment="1">
      <alignment horizontal="center" vertical="center" wrapText="1"/>
    </xf>
    <xf numFmtId="0" fontId="35" fillId="6" borderId="2" xfId="0" applyFont="1" applyFill="1" applyBorder="1" applyAlignment="1">
      <alignment horizontal="left" vertical="center" wrapText="1"/>
    </xf>
    <xf numFmtId="0" fontId="38" fillId="25" borderId="2" xfId="0" applyFont="1" applyFill="1" applyBorder="1" applyAlignment="1">
      <alignment horizontal="center" vertical="center" wrapText="1"/>
    </xf>
    <xf numFmtId="0" fontId="39" fillId="7" borderId="2" xfId="0" applyFont="1" applyFill="1" applyBorder="1" applyAlignment="1">
      <alignment horizontal="center" vertical="center" wrapText="1"/>
    </xf>
    <xf numFmtId="0" fontId="16" fillId="5" borderId="6" xfId="0" applyFont="1" applyFill="1" applyBorder="1" applyAlignment="1">
      <alignment horizontal="left" vertical="center" wrapText="1"/>
    </xf>
    <xf numFmtId="2" fontId="5" fillId="9" borderId="6" xfId="0" applyNumberFormat="1" applyFont="1" applyFill="1" applyBorder="1" applyAlignment="1">
      <alignment horizontal="center" vertical="center" wrapText="1"/>
    </xf>
    <xf numFmtId="0" fontId="15" fillId="7" borderId="6" xfId="0" applyFont="1" applyFill="1" applyBorder="1" applyAlignment="1">
      <alignment horizontal="center" vertical="center" wrapText="1"/>
    </xf>
    <xf numFmtId="0" fontId="17" fillId="6" borderId="6" xfId="0" applyFont="1" applyFill="1" applyBorder="1" applyAlignment="1">
      <alignment horizontal="left" vertical="center" wrapText="1"/>
    </xf>
    <xf numFmtId="0" fontId="0" fillId="29" borderId="0" xfId="0" applyFill="1"/>
    <xf numFmtId="0" fontId="38" fillId="2" borderId="2" xfId="0" applyFont="1" applyFill="1" applyBorder="1" applyAlignment="1">
      <alignment horizontal="center" vertical="center" wrapText="1"/>
    </xf>
    <xf numFmtId="167" fontId="9" fillId="7" borderId="2" xfId="1" applyNumberFormat="1" applyFont="1" applyFill="1" applyBorder="1" applyAlignment="1">
      <alignment horizontal="center" vertical="center" wrapText="1"/>
    </xf>
    <xf numFmtId="0" fontId="27" fillId="7" borderId="1" xfId="0" applyFont="1" applyFill="1" applyBorder="1" applyAlignment="1">
      <alignment horizontal="left" vertical="center" wrapText="1"/>
    </xf>
    <xf numFmtId="0" fontId="28" fillId="8" borderId="1" xfId="0" applyFont="1" applyFill="1" applyBorder="1" applyAlignment="1">
      <alignment horizontal="left" vertical="center" wrapText="1"/>
    </xf>
    <xf numFmtId="0" fontId="28" fillId="6" borderId="1" xfId="0" applyFont="1" applyFill="1" applyBorder="1" applyAlignment="1">
      <alignment horizontal="left" vertical="center" wrapText="1"/>
    </xf>
    <xf numFmtId="0" fontId="26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left" vertical="center" wrapText="1"/>
    </xf>
    <xf numFmtId="0" fontId="14" fillId="8" borderId="1" xfId="0" applyFont="1" applyFill="1" applyBorder="1" applyAlignment="1">
      <alignment horizontal="left" vertical="center" wrapText="1"/>
    </xf>
    <xf numFmtId="0" fontId="2" fillId="19" borderId="1" xfId="0" applyFont="1" applyFill="1" applyBorder="1" applyAlignment="1">
      <alignment horizontal="left" vertical="center" wrapText="1"/>
    </xf>
    <xf numFmtId="0" fontId="2" fillId="20" borderId="1" xfId="0" applyFont="1" applyFill="1" applyBorder="1" applyAlignment="1">
      <alignment horizontal="left" vertical="center" wrapText="1"/>
    </xf>
    <xf numFmtId="0" fontId="2" fillId="17" borderId="1" xfId="0" applyFont="1" applyFill="1" applyBorder="1" applyAlignment="1">
      <alignment horizontal="left" vertical="center" wrapText="1"/>
    </xf>
    <xf numFmtId="0" fontId="2" fillId="16" borderId="1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horizontal="left" vertical="center" wrapText="1"/>
    </xf>
    <xf numFmtId="0" fontId="2" fillId="14" borderId="1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1" fillId="23" borderId="7" xfId="0" applyFont="1" applyFill="1" applyBorder="1" applyAlignment="1">
      <alignment horizontal="center" vertical="center" wrapText="1"/>
    </xf>
    <xf numFmtId="0" fontId="31" fillId="23" borderId="9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left" vertical="center" wrapText="1"/>
    </xf>
    <xf numFmtId="0" fontId="10" fillId="22" borderId="0" xfId="0" applyFont="1" applyFill="1" applyAlignment="1">
      <alignment horizontal="left" vertical="center" wrapText="1"/>
    </xf>
    <xf numFmtId="0" fontId="12" fillId="24" borderId="0" xfId="0" applyFont="1" applyFill="1" applyAlignment="1">
      <alignment horizontal="left" vertical="center" wrapText="1"/>
    </xf>
    <xf numFmtId="0" fontId="34" fillId="26" borderId="1" xfId="0" applyFont="1" applyFill="1" applyBorder="1" applyAlignment="1">
      <alignment horizontal="left" vertical="center" wrapText="1"/>
    </xf>
    <xf numFmtId="0" fontId="32" fillId="25" borderId="0" xfId="0" applyFont="1" applyFill="1" applyAlignment="1">
      <alignment horizontal="center" vertical="center" wrapText="1"/>
    </xf>
    <xf numFmtId="0" fontId="33" fillId="26" borderId="0" xfId="0" applyFont="1" applyFill="1" applyAlignment="1">
      <alignment horizontal="center" vertical="center" wrapText="1"/>
    </xf>
    <xf numFmtId="0" fontId="13" fillId="28" borderId="0" xfId="0" applyFont="1" applyFill="1" applyAlignment="1">
      <alignment horizontal="center" vertical="center" wrapText="1"/>
    </xf>
    <xf numFmtId="0" fontId="18" fillId="24" borderId="0" xfId="0" applyFont="1" applyFill="1" applyAlignment="1">
      <alignment horizontal="center" vertical="center" wrapText="1"/>
    </xf>
    <xf numFmtId="0" fontId="19" fillId="22" borderId="0" xfId="0" applyFont="1" applyFill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3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E6B3C"/>
      <rgbColor rgb="FF000080"/>
      <rgbColor rgb="FF7F6000"/>
      <rgbColor rgb="FF800080"/>
      <rgbColor rgb="FF1F7391"/>
      <rgbColor rgb="FFBFBFBF"/>
      <rgbColor rgb="FF808080"/>
      <rgbColor rgb="FF9999FF"/>
      <rgbColor rgb="FF7030A0"/>
      <rgbColor rgb="FFFFF2CC"/>
      <rgbColor rgb="FFDEEAF1"/>
      <rgbColor rgb="FF660066"/>
      <rgbColor rgb="FFC68B2F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4B942"/>
      <rgbColor rgb="FFC9A227"/>
      <rgbColor rgb="FFFF6600"/>
      <rgbColor rgb="FF7B4EA8"/>
      <rgbColor rgb="FF969696"/>
      <rgbColor rgb="FF1F3864"/>
      <rgbColor rgb="FF4E9A6E"/>
      <rgbColor rgb="FF003300"/>
      <rgbColor rgb="FF333300"/>
      <rgbColor rgb="FFB85C00"/>
      <rgbColor rgb="FF993366"/>
      <rgbColor rgb="FF2E5796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Cantidad</a:t>
            </a:r>
            <a:r>
              <a:rPr lang="es-CO" baseline="0"/>
              <a:t> Menciones en la Literatura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'1. Datos Entrada'!$A$5:$A$9</c:f>
              <c:strCache>
                <c:ptCount val="5"/>
                <c:pt idx="0">
                  <c:v>Emisiones de CO₂ equivalente – Potencial de Calentamiento Global (GWP)</c:v>
                </c:pt>
                <c:pt idx="1">
                  <c:v>Energía Embebida</c:v>
                </c:pt>
                <c:pt idx="2">
                  <c:v>Desempeño Técnico y Mecánico</c:v>
                </c:pt>
                <c:pt idx="3">
                  <c:v>Costo del Ciclo de Vida (Life Cycle Cost – LCC)</c:v>
                </c:pt>
                <c:pt idx="4">
                  <c:v>Impacto en Salud Humana y Ecosistemas (toxicidad y biodiversidad)</c:v>
                </c:pt>
              </c:strCache>
            </c:strRef>
          </c:cat>
          <c:val>
            <c:numRef>
              <c:f>'1. Datos Entrada'!$B$5:$B$9</c:f>
              <c:numCache>
                <c:formatCode>General</c:formatCode>
                <c:ptCount val="5"/>
                <c:pt idx="0">
                  <c:v>30</c:v>
                </c:pt>
                <c:pt idx="1">
                  <c:v>16</c:v>
                </c:pt>
                <c:pt idx="2">
                  <c:v>14</c:v>
                </c:pt>
                <c:pt idx="3">
                  <c:v>11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F6-42E3-B241-F6094623C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6775647"/>
        <c:axId val="1405186671"/>
      </c:barChart>
      <c:catAx>
        <c:axId val="1406775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05186671"/>
        <c:crosses val="autoZero"/>
        <c:auto val="1"/>
        <c:lblAlgn val="ctr"/>
        <c:lblOffset val="100"/>
        <c:noMultiLvlLbl val="0"/>
      </c:catAx>
      <c:valAx>
        <c:axId val="1405186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06775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B21-4B6C-84A6-2DAE6569865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B21-4B6C-84A6-2DAE6569865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B21-4B6C-84A6-2DAE6569865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B21-4B6C-84A6-2DAE6569865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B21-4B6C-84A6-2DAE6569865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'1. Datos Entrada'!$A$5:$A$9</c:f>
              <c:strCache>
                <c:ptCount val="5"/>
                <c:pt idx="0">
                  <c:v>Emisiones de CO₂ equivalente – Potencial de Calentamiento Global (GWP)</c:v>
                </c:pt>
                <c:pt idx="1">
                  <c:v>Energía Embebida</c:v>
                </c:pt>
                <c:pt idx="2">
                  <c:v>Desempeño Técnico y Mecánico</c:v>
                </c:pt>
                <c:pt idx="3">
                  <c:v>Costo del Ciclo de Vida (Life Cycle Cost – LCC)</c:v>
                </c:pt>
                <c:pt idx="4">
                  <c:v>Impacto en Salud Humana y Ecosistemas (toxicidad y biodiversidad)</c:v>
                </c:pt>
              </c:strCache>
            </c:strRef>
          </c:cat>
          <c:val>
            <c:numRef>
              <c:f>'1. Datos Entrada'!$C$5:$C$9</c:f>
              <c:numCache>
                <c:formatCode>0.0%</c:formatCode>
                <c:ptCount val="5"/>
                <c:pt idx="0">
                  <c:v>0.88235294117647056</c:v>
                </c:pt>
                <c:pt idx="1">
                  <c:v>0.47058823529411764</c:v>
                </c:pt>
                <c:pt idx="2">
                  <c:v>0.41176470588235292</c:v>
                </c:pt>
                <c:pt idx="3">
                  <c:v>0.3235294117647059</c:v>
                </c:pt>
                <c:pt idx="4">
                  <c:v>0.14705882352941177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BD-48FE-AD48-23452B8C801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Frecuencia</a:t>
            </a:r>
            <a:r>
              <a:rPr lang="es-CO" baseline="0"/>
              <a:t> Ponderada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9C5-4770-B181-3E349864DA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9C5-4770-B181-3E349864DA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9C5-4770-B181-3E349864DA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9C5-4770-B181-3E349864DA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9C5-4770-B181-3E349864DA2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'2.M1 Frecuencia Ponderada'!$A$4:$A$8</c:f>
              <c:strCache>
                <c:ptCount val="5"/>
                <c:pt idx="0">
                  <c:v>Emisiones de CO₂ equivalente – Potencial de Calentamiento Global (GWP)</c:v>
                </c:pt>
                <c:pt idx="1">
                  <c:v>Energía Embebida</c:v>
                </c:pt>
                <c:pt idx="2">
                  <c:v>Desempeño Técnico y Mecánico</c:v>
                </c:pt>
                <c:pt idx="3">
                  <c:v>Costo del Ciclo de Vida (Life Cycle Cost – LCC)</c:v>
                </c:pt>
                <c:pt idx="4">
                  <c:v>Impacto en Salud Humana y Ecosistemas (toxicidad y biodiversidad)</c:v>
                </c:pt>
              </c:strCache>
            </c:strRef>
          </c:cat>
          <c:val>
            <c:numRef>
              <c:f>'2.M1 Frecuencia Ponderada'!$D$4:$D$8</c:f>
              <c:numCache>
                <c:formatCode>0.00%</c:formatCode>
                <c:ptCount val="5"/>
                <c:pt idx="0">
                  <c:v>0.39473684210526316</c:v>
                </c:pt>
                <c:pt idx="1">
                  <c:v>0.21052631578947367</c:v>
                </c:pt>
                <c:pt idx="2">
                  <c:v>0.18421052631578946</c:v>
                </c:pt>
                <c:pt idx="3">
                  <c:v>0.14473684210526316</c:v>
                </c:pt>
                <c:pt idx="4">
                  <c:v>6.5789473684210523E-2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4-4C74-88EF-EF0C3160E58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Entropía</a:t>
            </a:r>
            <a:r>
              <a:rPr lang="es-CO" baseline="0"/>
              <a:t> de Shannon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567-4758-A0F8-5BD80DE1332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567-4758-A0F8-5BD80DE1332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567-4758-A0F8-5BD80DE1332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567-4758-A0F8-5BD80DE1332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567-4758-A0F8-5BD80DE1332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'3.M2 Entropia Shannon'!$A$5:$A$9</c:f>
              <c:strCache>
                <c:ptCount val="5"/>
                <c:pt idx="0">
                  <c:v>Emisiones de CO₂ equivalente – Potencial de Calentamiento Global (GWP)</c:v>
                </c:pt>
                <c:pt idx="1">
                  <c:v>Energía Embebida</c:v>
                </c:pt>
                <c:pt idx="2">
                  <c:v>Desempeño Técnico y Mecánico</c:v>
                </c:pt>
                <c:pt idx="3">
                  <c:v>Costo del Ciclo de Vida (Life Cycle Cost – LCC)</c:v>
                </c:pt>
                <c:pt idx="4">
                  <c:v>Impacto en Salud Humana y Ecosistemas (toxicidad y biodiversidad)</c:v>
                </c:pt>
              </c:strCache>
            </c:strRef>
          </c:cat>
          <c:val>
            <c:numRef>
              <c:f>'3.M2 Entropia Shannon'!$G$5:$G$9</c:f>
              <c:numCache>
                <c:formatCode>0.00%</c:formatCode>
                <c:ptCount val="5"/>
                <c:pt idx="0">
                  <c:v>0.21302232809962182</c:v>
                </c:pt>
                <c:pt idx="1">
                  <c:v>0.19085898972533841</c:v>
                </c:pt>
                <c:pt idx="2">
                  <c:v>0.19179624847092755</c:v>
                </c:pt>
                <c:pt idx="3">
                  <c:v>0.19502732515239607</c:v>
                </c:pt>
                <c:pt idx="4">
                  <c:v>0.2092951085517161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1C-4847-8111-AC6B7BA18AE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AHP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FB3-43B2-8A1C-69B223052CF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FB3-43B2-8A1C-69B223052CF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FB3-43B2-8A1C-69B223052CF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FB3-43B2-8A1C-69B223052CF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FB3-43B2-8A1C-69B223052CF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'4.M3 AHP Simplificado'!$A$4:$A$8</c:f>
              <c:strCache>
                <c:ptCount val="5"/>
                <c:pt idx="0">
                  <c:v>Emisiones de CO₂ equivalente – Potencial de Calentamiento Global (GWP)</c:v>
                </c:pt>
                <c:pt idx="1">
                  <c:v>Energía Embebida</c:v>
                </c:pt>
                <c:pt idx="2">
                  <c:v>Desempeño Técnico y Mecánico</c:v>
                </c:pt>
                <c:pt idx="3">
                  <c:v>Costo del Ciclo de Vida (Life Cycle Cost – LCC)</c:v>
                </c:pt>
                <c:pt idx="4">
                  <c:v>Impacto en Salud Humana y Ecosistemas (toxicidad y biodiversidad)</c:v>
                </c:pt>
              </c:strCache>
            </c:strRef>
          </c:cat>
          <c:val>
            <c:numRef>
              <c:f>'4.M3 AHP Simplificado'!$H$4:$H$8</c:f>
              <c:numCache>
                <c:formatCode>0.00%</c:formatCode>
                <c:ptCount val="5"/>
                <c:pt idx="0">
                  <c:v>0.39473684210526311</c:v>
                </c:pt>
                <c:pt idx="1">
                  <c:v>0.21052631578947367</c:v>
                </c:pt>
                <c:pt idx="2">
                  <c:v>0.18421052631578946</c:v>
                </c:pt>
                <c:pt idx="3">
                  <c:v>0.14473684210526316</c:v>
                </c:pt>
                <c:pt idx="4">
                  <c:v>6.5789473684210523E-2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91-401B-A08E-C6EAE5F8627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Peso Final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6F3-444F-AB92-3AA58390DC5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6F3-444F-AB92-3AA58390DC5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6F3-444F-AB92-3AA58390DC5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6F3-444F-AB92-3AA58390DC5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6F3-444F-AB92-3AA58390DC5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'5. Peso Final Combinado'!$A$4:$A$8</c:f>
              <c:strCache>
                <c:ptCount val="5"/>
                <c:pt idx="0">
                  <c:v>Emisiones de CO₂ equivalente – Potencial de Calentamiento Global (GWP)</c:v>
                </c:pt>
                <c:pt idx="1">
                  <c:v>Energía Embebida</c:v>
                </c:pt>
                <c:pt idx="2">
                  <c:v>Desempeño Técnico y Mecánico</c:v>
                </c:pt>
                <c:pt idx="3">
                  <c:v>Costo del Ciclo de Vida (Life Cycle Cost – LCC)</c:v>
                </c:pt>
                <c:pt idx="4">
                  <c:v>Impacto en Salud Humana y Ecosistemas (toxicidad y biodiversidad)</c:v>
                </c:pt>
              </c:strCache>
            </c:strRef>
          </c:cat>
          <c:val>
            <c:numRef>
              <c:f>'5. Peso Final Combinado'!$E$4:$E$8</c:f>
              <c:numCache>
                <c:formatCode>0.00%</c:formatCode>
                <c:ptCount val="5"/>
                <c:pt idx="0">
                  <c:v>0.34022248790357074</c:v>
                </c:pt>
                <c:pt idx="1">
                  <c:v>0.20462611797023306</c:v>
                </c:pt>
                <c:pt idx="2">
                  <c:v>0.18648624296233091</c:v>
                </c:pt>
                <c:pt idx="3">
                  <c:v>0.15982398701940304</c:v>
                </c:pt>
                <c:pt idx="4">
                  <c:v>0.10884116414446218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50-4393-BFE6-900E879BF7A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Cantidad menciones</a:t>
            </a:r>
            <a:r>
              <a:rPr lang="es-CO" baseline="0"/>
              <a:t> en la Literatura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'7. Matriz Datos Entrada'!$B$5:$B$12</c:f>
              <c:strCache>
                <c:ptCount val="8"/>
                <c:pt idx="0">
                  <c:v>Concreto con Agregados de Concreto Reciclado (Residuos de Construcción y Demolición – RCD)</c:v>
                </c:pt>
                <c:pt idx="1">
                  <c:v>Geopolímeros Activados Alcalinamente (base escoria de alto horno y/o ceniza volante)</c:v>
                </c:pt>
                <c:pt idx="2">
                  <c:v>Bambú Estructural</c:v>
                </c:pt>
                <c:pt idx="3">
                  <c:v>Concreto con Biochar (carbón vegetal pirolizado como sustituto parcial de cemento)</c:v>
                </c:pt>
                <c:pt idx="4">
                  <c:v>Vidrio Reciclado Triturado como Sustituto de Árido Fino en Concreto y Morteros</c:v>
                </c:pt>
                <c:pt idx="5">
                  <c:v>Hempcrete: Biocompuesto de Cáñamo Industrial y Cal Hidráulica</c:v>
                </c:pt>
                <c:pt idx="6">
                  <c:v>Ceniza de Cáscara de Arroz (Rice Husk Ash - RHA)</c:v>
                </c:pt>
                <c:pt idx="7">
                  <c:v>Fibras de Refuerzo de Plástico Reciclado</c:v>
                </c:pt>
              </c:strCache>
            </c:strRef>
          </c:cat>
          <c:val>
            <c:numRef>
              <c:f>'7. Matriz Datos Entrada'!$H$5:$H$12</c:f>
              <c:numCache>
                <c:formatCode>General</c:formatCode>
                <c:ptCount val="8"/>
                <c:pt idx="0">
                  <c:v>18</c:v>
                </c:pt>
                <c:pt idx="1">
                  <c:v>14</c:v>
                </c:pt>
                <c:pt idx="2">
                  <c:v>10</c:v>
                </c:pt>
                <c:pt idx="3">
                  <c:v>8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DE-4047-B6F8-95C15BAD2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6281727"/>
        <c:axId val="1446282687"/>
      </c:barChart>
      <c:catAx>
        <c:axId val="144628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6282687"/>
        <c:crosses val="autoZero"/>
        <c:auto val="1"/>
        <c:lblAlgn val="ctr"/>
        <c:lblOffset val="100"/>
        <c:noMultiLvlLbl val="0"/>
      </c:catAx>
      <c:valAx>
        <c:axId val="144628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6281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Frecuencia Ponderada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E19-465A-8894-8B4E3063BF6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E19-465A-8894-8B4E3063BF6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E19-465A-8894-8B4E3063BF6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E19-465A-8894-8B4E3063BF6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E19-465A-8894-8B4E3063BF6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E19-465A-8894-8B4E3063BF6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E19-465A-8894-8B4E3063BF6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E19-465A-8894-8B4E3063BF6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'8.M1 Frecuencia Ponderada'!$B$4:$B$11</c:f>
              <c:strCache>
                <c:ptCount val="8"/>
                <c:pt idx="0">
                  <c:v>Concreto con Agregados de Concreto Reciclado (Residuos de Construcción y Demolición – RCD)</c:v>
                </c:pt>
                <c:pt idx="1">
                  <c:v>Geopolímeros Activados Alcalinamente (base escoria de alto horno y/o ceniza volante)</c:v>
                </c:pt>
                <c:pt idx="2">
                  <c:v>Bambú Estructural</c:v>
                </c:pt>
                <c:pt idx="3">
                  <c:v>Concreto con Biochar (carbón vegetal pirolizado como sustituto parcial de cemento)</c:v>
                </c:pt>
                <c:pt idx="4">
                  <c:v>Vidrio Reciclado Triturado como Sustituto de Árido Fino en Concreto y Morteros</c:v>
                </c:pt>
                <c:pt idx="5">
                  <c:v>Hempcrete: Biocompuesto de Cáñamo Industrial y Cal Hidráulica</c:v>
                </c:pt>
                <c:pt idx="6">
                  <c:v>Ceniza de Cáscara de Arroz (Rice Husk Ash - RHA)</c:v>
                </c:pt>
                <c:pt idx="7">
                  <c:v>Fibras de Refuerzo de Plástico Reciclado</c:v>
                </c:pt>
              </c:strCache>
            </c:strRef>
          </c:cat>
          <c:val>
            <c:numRef>
              <c:f>'8.M1 Frecuencia Ponderada'!$E$4:$E$11</c:f>
              <c:numCache>
                <c:formatCode>0.00%</c:formatCode>
                <c:ptCount val="8"/>
                <c:pt idx="0">
                  <c:v>0.22784810126582278</c:v>
                </c:pt>
                <c:pt idx="1">
                  <c:v>0.17721518987341769</c:v>
                </c:pt>
                <c:pt idx="2">
                  <c:v>0.12658227848101264</c:v>
                </c:pt>
                <c:pt idx="3">
                  <c:v>0.10126582278481011</c:v>
                </c:pt>
                <c:pt idx="4">
                  <c:v>0.11392405063291139</c:v>
                </c:pt>
                <c:pt idx="5">
                  <c:v>7.5949367088607597E-2</c:v>
                </c:pt>
                <c:pt idx="6">
                  <c:v>8.8607594936708847E-2</c:v>
                </c:pt>
                <c:pt idx="7">
                  <c:v>8.8607594936708847E-2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31-4015-B23E-80BB21D87E9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Entropía de Shannon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604-4865-B024-D5498B95B21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604-4865-B024-D5498B95B21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604-4865-B024-D5498B95B21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604-4865-B024-D5498B95B21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604-4865-B024-D5498B95B21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604-4865-B024-D5498B95B21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604-4865-B024-D5498B95B21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604-4865-B024-D5498B95B21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'9.M2 Entropia Shannon'!$B$4:$B$11</c:f>
              <c:strCache>
                <c:ptCount val="8"/>
                <c:pt idx="0">
                  <c:v>Concreto con Agregados de Concreto Reciclado (Residuos de Construcción y Demolición – RCD)</c:v>
                </c:pt>
                <c:pt idx="1">
                  <c:v>Geopolímeros Activados Alcalinamente (base escoria de alto horno y/o ceniza volante)</c:v>
                </c:pt>
                <c:pt idx="2">
                  <c:v>Bambú Estructural</c:v>
                </c:pt>
                <c:pt idx="3">
                  <c:v>Concreto con Biochar (carbón vegetal pirolizado como sustituto parcial de cemento)</c:v>
                </c:pt>
                <c:pt idx="4">
                  <c:v>Vidrio Reciclado Triturado como Sustituto de Árido Fino en Concreto y Morteros</c:v>
                </c:pt>
                <c:pt idx="5">
                  <c:v>Hempcrete: Biocompuesto de Cáñamo Industrial y Cal Hidráulica</c:v>
                </c:pt>
                <c:pt idx="6">
                  <c:v>Ceniza de Cáscara de Arroz (Rice Husk Ash - RHA)</c:v>
                </c:pt>
                <c:pt idx="7">
                  <c:v>Fibras de Refuerzo de Plástico Reciclado</c:v>
                </c:pt>
              </c:strCache>
            </c:strRef>
          </c:cat>
          <c:val>
            <c:numRef>
              <c:f>'9.M2 Entropia Shannon'!$H$4:$H$11</c:f>
              <c:numCache>
                <c:formatCode>0.00%</c:formatCode>
                <c:ptCount val="8"/>
                <c:pt idx="0">
                  <c:v>0.11997347055652022</c:v>
                </c:pt>
                <c:pt idx="1">
                  <c:v>0.12056262899584552</c:v>
                </c:pt>
                <c:pt idx="2">
                  <c:v>0.12359680715735515</c:v>
                </c:pt>
                <c:pt idx="3">
                  <c:v>0.12614456568783119</c:v>
                </c:pt>
                <c:pt idx="4">
                  <c:v>0.12477649342575348</c:v>
                </c:pt>
                <c:pt idx="5">
                  <c:v>0.12951300080183201</c:v>
                </c:pt>
                <c:pt idx="6">
                  <c:v>0.1277165166874312</c:v>
                </c:pt>
                <c:pt idx="7">
                  <c:v>0.1277165166874312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9B-48A3-BB96-975C1B4894C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AHP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33E-4C7F-96BD-19A73102AAE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33E-4C7F-96BD-19A73102AAE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33E-4C7F-96BD-19A73102AAE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33E-4C7F-96BD-19A73102AAE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33E-4C7F-96BD-19A73102AAE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33E-4C7F-96BD-19A73102AAE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33E-4C7F-96BD-19A73102AAE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33E-4C7F-96BD-19A73102AAE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'10.M3 AHP'!$B$4:$B$11</c:f>
              <c:strCache>
                <c:ptCount val="8"/>
                <c:pt idx="0">
                  <c:v>Concreto con Agregados de Concreto Reciclado</c:v>
                </c:pt>
                <c:pt idx="1">
                  <c:v>Geopolímeros Activados Alcalinamente</c:v>
                </c:pt>
                <c:pt idx="2">
                  <c:v>Bambú Estructural Laminado</c:v>
                </c:pt>
                <c:pt idx="3">
                  <c:v>Concreto con Biochar</c:v>
                </c:pt>
                <c:pt idx="4">
                  <c:v>Vidrio Reciclado Triturado</c:v>
                </c:pt>
                <c:pt idx="5">
                  <c:v>Hempcrete: Biocompuesto de Cáñamo Industrial y Cal Hidráulica</c:v>
                </c:pt>
                <c:pt idx="6">
                  <c:v>Ceniza de Cáscara de Arroz</c:v>
                </c:pt>
                <c:pt idx="7">
                  <c:v>Fibras de Refuerzo de Plástico Reciclado</c:v>
                </c:pt>
              </c:strCache>
            </c:strRef>
          </c:cat>
          <c:val>
            <c:numRef>
              <c:f>'10.M3 AHP'!$L$4:$L$11</c:f>
              <c:numCache>
                <c:formatCode>0.00%</c:formatCode>
                <c:ptCount val="8"/>
                <c:pt idx="0">
                  <c:v>0.22784810126582278</c:v>
                </c:pt>
                <c:pt idx="1">
                  <c:v>0.17721518987341772</c:v>
                </c:pt>
                <c:pt idx="2">
                  <c:v>0.12658227848101267</c:v>
                </c:pt>
                <c:pt idx="3">
                  <c:v>0.10126582278481011</c:v>
                </c:pt>
                <c:pt idx="4">
                  <c:v>0.11392405063291139</c:v>
                </c:pt>
                <c:pt idx="5">
                  <c:v>7.5949367088607611E-2</c:v>
                </c:pt>
                <c:pt idx="6">
                  <c:v>8.8607594936708861E-2</c:v>
                </c:pt>
                <c:pt idx="7">
                  <c:v>8.8607594936708861E-2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A4-47CE-9611-D6410A59061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Peso Final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3118841933657161"/>
          <c:y val="0.1265872348293271"/>
          <c:w val="0.3840787503402161"/>
          <c:h val="0.6682064468137596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A45-4411-AECC-030C9D8F48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A45-4411-AECC-030C9D8F48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A45-4411-AECC-030C9D8F48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A45-4411-AECC-030C9D8F48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A45-4411-AECC-030C9D8F48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A45-4411-AECC-030C9D8F48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A45-4411-AECC-030C9D8F48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A45-4411-AECC-030C9D8F48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'11. Peso Final Combinado'!$B$4:$B$11</c:f>
              <c:strCache>
                <c:ptCount val="8"/>
                <c:pt idx="0">
                  <c:v>Concreto con Agregados de Concreto Reciclado (Residuos de Construcción y Demolición – RCD)</c:v>
                </c:pt>
                <c:pt idx="1">
                  <c:v>Geopolímeros Activados Alcalinamente (base escoria de alto horno y/o ceniza volante)</c:v>
                </c:pt>
                <c:pt idx="2">
                  <c:v>Bambú Estructural</c:v>
                </c:pt>
                <c:pt idx="3">
                  <c:v>Concreto con Biochar (carbón vegetal pirolizado como sustituto parcial de cemento)</c:v>
                </c:pt>
                <c:pt idx="4">
                  <c:v>Vidrio Reciclado Triturado como Sustituto de Árido Fino en Concreto y Morteros</c:v>
                </c:pt>
                <c:pt idx="5">
                  <c:v>Hempcrete: Biocompuesto de Cáñamo Industrial y Cal Hidráulica</c:v>
                </c:pt>
                <c:pt idx="6">
                  <c:v>Ceniza de Cáscara de Arroz (Rice Husk Ash - RHA)</c:v>
                </c:pt>
                <c:pt idx="7">
                  <c:v>Fibras de Refuerzo de Plástico Reciclado</c:v>
                </c:pt>
              </c:strCache>
            </c:strRef>
          </c:cat>
          <c:val>
            <c:numRef>
              <c:f>'11. Peso Final Combinado'!$F$4:$F$11</c:f>
              <c:numCache>
                <c:formatCode>0.00%</c:formatCode>
                <c:ptCount val="8"/>
                <c:pt idx="0">
                  <c:v>0.195485712053032</c:v>
                </c:pt>
                <c:pt idx="1">
                  <c:v>0.16021942161014605</c:v>
                </c:pt>
                <c:pt idx="2">
                  <c:v>0.12568663708391539</c:v>
                </c:pt>
                <c:pt idx="3">
                  <c:v>0.10872944565571643</c:v>
                </c:pt>
                <c:pt idx="4">
                  <c:v>0.11717978347076402</c:v>
                </c:pt>
                <c:pt idx="5">
                  <c:v>9.2018457202574927E-2</c:v>
                </c:pt>
                <c:pt idx="6">
                  <c:v>0.10034027146192556</c:v>
                </c:pt>
                <c:pt idx="7">
                  <c:v>0.10034027146192556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F8-472E-BA03-489909C3FE3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baseline="0">
                <a:effectLst/>
              </a:rPr>
              <a:t>TOPSIS – Índice de Closeness (Ci) y ranking final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'14_Mat_TOPSIS'!$B$45:$B$52</c:f>
              <c:strCache>
                <c:ptCount val="8"/>
                <c:pt idx="0">
                  <c:v>Concreto con Agregados de Concreto Reciclado (Residuos de Construcción y Demolición – RCD)</c:v>
                </c:pt>
                <c:pt idx="1">
                  <c:v>Geopolímeros Activados Alcalinamente (base escoria de alto horno y/o ceniza volante)</c:v>
                </c:pt>
                <c:pt idx="2">
                  <c:v>Bambú Estructural</c:v>
                </c:pt>
                <c:pt idx="3">
                  <c:v>Concreto con Biochar (carbón vegetal pirolizado como sustituto parcial de cemento)</c:v>
                </c:pt>
                <c:pt idx="4">
                  <c:v>Vidrio Reciclado Triturado como Sustituto de Árido Fino en Concreto y Morteros</c:v>
                </c:pt>
                <c:pt idx="5">
                  <c:v>Hempcrete: Biocompuesto de Cáñamo Industrial y Cal Hidráulica</c:v>
                </c:pt>
                <c:pt idx="6">
                  <c:v>Ceniza de Cáscara de Arroz (Rice Husk Ash - RHA)</c:v>
                </c:pt>
                <c:pt idx="7">
                  <c:v>Fibras de Refuerzo de Plástico Reciclado</c:v>
                </c:pt>
              </c:strCache>
            </c:strRef>
          </c:cat>
          <c:val>
            <c:numRef>
              <c:f>'14_Mat_TOPSIS'!$E$45:$E$52</c:f>
              <c:numCache>
                <c:formatCode>0.0000</c:formatCode>
                <c:ptCount val="8"/>
                <c:pt idx="0">
                  <c:v>0.37796673687369714</c:v>
                </c:pt>
                <c:pt idx="1">
                  <c:v>0.5046496061677902</c:v>
                </c:pt>
                <c:pt idx="2">
                  <c:v>0.87242251756401101</c:v>
                </c:pt>
                <c:pt idx="3">
                  <c:v>0.53058390686446899</c:v>
                </c:pt>
                <c:pt idx="4">
                  <c:v>0.44641595281839369</c:v>
                </c:pt>
                <c:pt idx="5">
                  <c:v>0.78001994994997914</c:v>
                </c:pt>
                <c:pt idx="6">
                  <c:v>0.58974789469182587</c:v>
                </c:pt>
                <c:pt idx="7">
                  <c:v>0.33813413570029793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01-4BD3-9B53-508679FB8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4793103"/>
        <c:axId val="89980255"/>
      </c:barChart>
      <c:catAx>
        <c:axId val="154793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9980255"/>
        <c:crosses val="autoZero"/>
        <c:auto val="1"/>
        <c:lblAlgn val="ctr"/>
        <c:lblOffset val="100"/>
        <c:noMultiLvlLbl val="0"/>
      </c:catAx>
      <c:valAx>
        <c:axId val="89980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4793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695325</xdr:colOff>
      <xdr:row>11</xdr:row>
      <xdr:rowOff>69856</xdr:rowOff>
    </xdr:from>
    <xdr:to>
      <xdr:col>10</xdr:col>
      <xdr:colOff>530225</xdr:colOff>
      <xdr:row>28</xdr:row>
      <xdr:rowOff>120656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19F378B-9D52-3B1E-52C1-ECE6E59ADB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12700</xdr:colOff>
      <xdr:row>11</xdr:row>
      <xdr:rowOff>76206</xdr:rowOff>
    </xdr:from>
    <xdr:to>
      <xdr:col>3</xdr:col>
      <xdr:colOff>336550</xdr:colOff>
      <xdr:row>26</xdr:row>
      <xdr:rowOff>57156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DD95493-22C6-C96E-9764-91CF4444E8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346075</xdr:colOff>
      <xdr:row>9</xdr:row>
      <xdr:rowOff>171450</xdr:rowOff>
    </xdr:from>
    <xdr:to>
      <xdr:col>2</xdr:col>
      <xdr:colOff>1057275</xdr:colOff>
      <xdr:row>27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532BA70-E13B-4D62-246A-B22B2C7DC9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11</xdr:row>
      <xdr:rowOff>158756</xdr:rowOff>
    </xdr:from>
    <xdr:to>
      <xdr:col>4</xdr:col>
      <xdr:colOff>933451</xdr:colOff>
      <xdr:row>27</xdr:row>
      <xdr:rowOff>25400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97F3AAE-8187-B8F8-B664-E979AB5F7D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41275</xdr:colOff>
      <xdr:row>9</xdr:row>
      <xdr:rowOff>139706</xdr:rowOff>
    </xdr:from>
    <xdr:to>
      <xdr:col>6</xdr:col>
      <xdr:colOff>771525</xdr:colOff>
      <xdr:row>24</xdr:row>
      <xdr:rowOff>31756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7FC1366-DAA3-B2C2-41C5-2262F85A2F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1349374</xdr:colOff>
      <xdr:row>10</xdr:row>
      <xdr:rowOff>88900</xdr:rowOff>
    </xdr:from>
    <xdr:to>
      <xdr:col>3</xdr:col>
      <xdr:colOff>1250949</xdr:colOff>
      <xdr:row>25</xdr:row>
      <xdr:rowOff>165100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F0B8B03-5BA9-933F-DB7C-719CBC53F3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200025</xdr:colOff>
      <xdr:row>12</xdr:row>
      <xdr:rowOff>82556</xdr:rowOff>
    </xdr:from>
    <xdr:to>
      <xdr:col>6</xdr:col>
      <xdr:colOff>860425</xdr:colOff>
      <xdr:row>27</xdr:row>
      <xdr:rowOff>50806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D0256B4-FDCE-3413-8789-586C637D69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473074</xdr:colOff>
      <xdr:row>1</xdr:row>
      <xdr:rowOff>139706</xdr:rowOff>
    </xdr:from>
    <xdr:to>
      <xdr:col>15</xdr:col>
      <xdr:colOff>368300</xdr:colOff>
      <xdr:row>15</xdr:row>
      <xdr:rowOff>12700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BD480EF-B5FF-0231-2CE9-1D7B505F03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155574</xdr:colOff>
      <xdr:row>1</xdr:row>
      <xdr:rowOff>152406</xdr:rowOff>
    </xdr:from>
    <xdr:to>
      <xdr:col>19</xdr:col>
      <xdr:colOff>387350</xdr:colOff>
      <xdr:row>12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D348AA5-65FD-0B05-578B-484CC6DD2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11</xdr:row>
      <xdr:rowOff>57156</xdr:rowOff>
    </xdr:from>
    <xdr:to>
      <xdr:col>9</xdr:col>
      <xdr:colOff>682625</xdr:colOff>
      <xdr:row>26</xdr:row>
      <xdr:rowOff>38106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E6DDBA8-F676-1DE3-1F68-BBD139A5FA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79374</xdr:colOff>
      <xdr:row>12</xdr:row>
      <xdr:rowOff>165106</xdr:rowOff>
    </xdr:from>
    <xdr:to>
      <xdr:col>6</xdr:col>
      <xdr:colOff>38100</xdr:colOff>
      <xdr:row>33</xdr:row>
      <xdr:rowOff>158750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A234DE1-40F5-88EB-3D4F-D8D5BF1B2F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142875</xdr:colOff>
      <xdr:row>43</xdr:row>
      <xdr:rowOff>44456</xdr:rowOff>
    </xdr:from>
    <xdr:to>
      <xdr:col>14</xdr:col>
      <xdr:colOff>492125</xdr:colOff>
      <xdr:row>53</xdr:row>
      <xdr:rowOff>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F31D075-5C7F-8F79-358B-433B771D12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showGridLines="0" zoomScaleNormal="100" workbookViewId="0">
      <pane ySplit="3" topLeftCell="A4" activePane="bottomLeft" state="frozen"/>
      <selection pane="bottomLeft" activeCell="A2" sqref="A2"/>
    </sheetView>
  </sheetViews>
  <sheetFormatPr baseColWidth="10" defaultColWidth="8.6328125" defaultRowHeight="14.5" x14ac:dyDescent="0.35"/>
  <cols>
    <col min="1" max="1" width="37.7265625" customWidth="1"/>
    <col min="2" max="2" width="20.81640625" customWidth="1"/>
    <col min="3" max="3" width="18" customWidth="1"/>
    <col min="4" max="4" width="16" customWidth="1"/>
  </cols>
  <sheetData>
    <row r="1" spans="1:8" ht="30" customHeight="1" x14ac:dyDescent="0.35">
      <c r="A1" s="108" t="s">
        <v>0</v>
      </c>
      <c r="B1" s="108"/>
      <c r="C1" s="108"/>
      <c r="D1" s="108"/>
      <c r="E1" s="108"/>
      <c r="F1" s="108"/>
      <c r="G1" s="108"/>
      <c r="H1" s="108"/>
    </row>
    <row r="2" spans="1:8" ht="13.5" customHeight="1" x14ac:dyDescent="0.35"/>
    <row r="3" spans="1:8" ht="15" customHeight="1" x14ac:dyDescent="0.35">
      <c r="A3" s="109" t="s">
        <v>1</v>
      </c>
      <c r="B3" s="109"/>
      <c r="C3" s="109"/>
      <c r="D3" s="110"/>
      <c r="E3" s="1"/>
      <c r="F3" s="1"/>
      <c r="G3" s="1"/>
      <c r="H3" s="1"/>
    </row>
    <row r="4" spans="1:8" x14ac:dyDescent="0.35">
      <c r="A4" s="2" t="s">
        <v>2</v>
      </c>
      <c r="B4" s="2" t="s">
        <v>236</v>
      </c>
      <c r="C4" s="63" t="s">
        <v>3</v>
      </c>
      <c r="D4" s="64"/>
    </row>
    <row r="5" spans="1:8" ht="26" x14ac:dyDescent="0.35">
      <c r="A5" s="3" t="s">
        <v>240</v>
      </c>
      <c r="B5" s="4">
        <v>30</v>
      </c>
      <c r="C5" s="66">
        <f>(B5/34)</f>
        <v>0.88235294117647056</v>
      </c>
      <c r="D5" s="65"/>
    </row>
    <row r="6" spans="1:8" x14ac:dyDescent="0.35">
      <c r="A6" s="3" t="s">
        <v>235</v>
      </c>
      <c r="B6" s="5">
        <v>16</v>
      </c>
      <c r="C6" s="66">
        <f t="shared" ref="C6:C9" si="0">(B6/34)</f>
        <v>0.47058823529411764</v>
      </c>
      <c r="D6" s="65"/>
    </row>
    <row r="7" spans="1:8" x14ac:dyDescent="0.35">
      <c r="A7" s="3" t="s">
        <v>241</v>
      </c>
      <c r="B7" s="4">
        <v>14</v>
      </c>
      <c r="C7" s="66">
        <f t="shared" si="0"/>
        <v>0.41176470588235292</v>
      </c>
      <c r="D7" s="65"/>
    </row>
    <row r="8" spans="1:8" ht="26" x14ac:dyDescent="0.35">
      <c r="A8" s="3" t="s">
        <v>242</v>
      </c>
      <c r="B8" s="5">
        <v>11</v>
      </c>
      <c r="C8" s="66">
        <f t="shared" si="0"/>
        <v>0.3235294117647059</v>
      </c>
      <c r="D8" s="65"/>
    </row>
    <row r="9" spans="1:8" ht="26" x14ac:dyDescent="0.35">
      <c r="A9" s="69" t="s">
        <v>243</v>
      </c>
      <c r="B9" s="70">
        <v>5</v>
      </c>
      <c r="C9" s="71">
        <f t="shared" si="0"/>
        <v>0.14705882352941177</v>
      </c>
      <c r="D9" s="65"/>
    </row>
    <row r="10" spans="1:8" ht="15" customHeight="1" x14ac:dyDescent="0.35">
      <c r="A10" s="111" t="s">
        <v>237</v>
      </c>
      <c r="B10" s="112"/>
      <c r="C10" s="72">
        <f>SUM(C5:C9)</f>
        <v>2.2352941176470589</v>
      </c>
      <c r="D10" s="62"/>
    </row>
  </sheetData>
  <mergeCells count="3">
    <mergeCell ref="A1:H1"/>
    <mergeCell ref="A3:D3"/>
    <mergeCell ref="A10:B10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showGridLines="0" zoomScaleNormal="100" workbookViewId="0">
      <pane ySplit="3" topLeftCell="A4" activePane="bottomLeft" state="frozen"/>
      <selection pane="bottomLeft" activeCell="G15" sqref="G15"/>
    </sheetView>
  </sheetViews>
  <sheetFormatPr baseColWidth="10" defaultColWidth="8.6328125" defaultRowHeight="14.5" x14ac:dyDescent="0.35"/>
  <cols>
    <col min="1" max="1" width="39.26953125" customWidth="1"/>
    <col min="2" max="4" width="16" customWidth="1"/>
    <col min="7" max="7" width="8.6328125" customWidth="1"/>
  </cols>
  <sheetData>
    <row r="1" spans="1:5" ht="15" customHeight="1" x14ac:dyDescent="0.35">
      <c r="A1" s="113" t="s">
        <v>10</v>
      </c>
      <c r="B1" s="113"/>
      <c r="C1" s="113"/>
      <c r="D1" s="113"/>
      <c r="E1" s="113"/>
    </row>
    <row r="3" spans="1:5" x14ac:dyDescent="0.35">
      <c r="A3" s="2" t="s">
        <v>2</v>
      </c>
      <c r="B3" s="2" t="s">
        <v>3</v>
      </c>
      <c r="C3" s="2" t="s">
        <v>11</v>
      </c>
      <c r="D3" s="2" t="s">
        <v>12</v>
      </c>
    </row>
    <row r="4" spans="1:5" ht="26" x14ac:dyDescent="0.35">
      <c r="A4" s="3" t="s">
        <v>240</v>
      </c>
      <c r="B4" s="7">
        <f>'1. Datos Entrada'!C5</f>
        <v>0.88235294117647056</v>
      </c>
      <c r="C4" s="8">
        <f>'1. Datos Entrada'!C10</f>
        <v>2.2352941176470589</v>
      </c>
      <c r="D4" s="9">
        <f>B4/C4</f>
        <v>0.39473684210526316</v>
      </c>
    </row>
    <row r="5" spans="1:5" x14ac:dyDescent="0.35">
      <c r="A5" s="3" t="s">
        <v>235</v>
      </c>
      <c r="B5" s="7">
        <f>'1. Datos Entrada'!C6</f>
        <v>0.47058823529411764</v>
      </c>
      <c r="C5" s="8">
        <f>'1. Datos Entrada'!C10</f>
        <v>2.2352941176470589</v>
      </c>
      <c r="D5" s="9">
        <f>B5/C5</f>
        <v>0.21052631578947367</v>
      </c>
    </row>
    <row r="6" spans="1:5" x14ac:dyDescent="0.35">
      <c r="A6" s="3" t="s">
        <v>241</v>
      </c>
      <c r="B6" s="7">
        <f>'1. Datos Entrada'!C7</f>
        <v>0.41176470588235292</v>
      </c>
      <c r="C6" s="8">
        <f>'1. Datos Entrada'!C10</f>
        <v>2.2352941176470589</v>
      </c>
      <c r="D6" s="9">
        <f>B6/C6</f>
        <v>0.18421052631578946</v>
      </c>
    </row>
    <row r="7" spans="1:5" ht="26" x14ac:dyDescent="0.35">
      <c r="A7" s="3" t="s">
        <v>242</v>
      </c>
      <c r="B7" s="7">
        <f>'1. Datos Entrada'!C8</f>
        <v>0.3235294117647059</v>
      </c>
      <c r="C7" s="8">
        <f>'1. Datos Entrada'!C10</f>
        <v>2.2352941176470589</v>
      </c>
      <c r="D7" s="9">
        <f>B7/C7</f>
        <v>0.14473684210526316</v>
      </c>
    </row>
    <row r="8" spans="1:5" ht="26" x14ac:dyDescent="0.35">
      <c r="A8" s="3" t="s">
        <v>243</v>
      </c>
      <c r="B8" s="7">
        <f>'1. Datos Entrada'!C9</f>
        <v>0.14705882352941177</v>
      </c>
      <c r="C8" s="8">
        <f>'1. Datos Entrada'!C10</f>
        <v>2.2352941176470589</v>
      </c>
      <c r="D8" s="9">
        <f>B8/C8</f>
        <v>6.5789473684210523E-2</v>
      </c>
    </row>
    <row r="9" spans="1:5" x14ac:dyDescent="0.35">
      <c r="A9" s="6" t="s">
        <v>9</v>
      </c>
      <c r="D9" s="10">
        <f>SUM(D4:D8)</f>
        <v>1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showGridLines="0" zoomScaleNormal="100" workbookViewId="0">
      <pane ySplit="4" topLeftCell="A5" activePane="bottomLeft" state="frozen"/>
      <selection pane="bottomLeft" activeCell="A3" sqref="A3:XFD3"/>
    </sheetView>
  </sheetViews>
  <sheetFormatPr baseColWidth="10" defaultColWidth="8.6328125" defaultRowHeight="14.5" x14ac:dyDescent="0.35"/>
  <cols>
    <col min="1" max="1" width="36.7265625" customWidth="1"/>
    <col min="2" max="4" width="12" customWidth="1"/>
    <col min="5" max="8" width="16" customWidth="1"/>
    <col min="9" max="9" width="12" customWidth="1"/>
  </cols>
  <sheetData>
    <row r="1" spans="1:9" ht="15" customHeight="1" x14ac:dyDescent="0.35">
      <c r="A1" s="113" t="s">
        <v>13</v>
      </c>
      <c r="B1" s="113"/>
      <c r="C1" s="113"/>
      <c r="D1" s="113"/>
      <c r="E1" s="113"/>
      <c r="F1" s="113"/>
      <c r="G1" s="113"/>
      <c r="H1" s="113"/>
      <c r="I1" s="113"/>
    </row>
    <row r="2" spans="1:9" ht="15" customHeight="1" x14ac:dyDescent="0.35">
      <c r="A2" s="114" t="s">
        <v>14</v>
      </c>
      <c r="B2" s="114"/>
      <c r="C2" s="114"/>
      <c r="D2" s="114"/>
      <c r="E2" s="114"/>
      <c r="F2" s="114"/>
      <c r="G2" s="114"/>
      <c r="H2" s="114"/>
      <c r="I2" s="114"/>
    </row>
    <row r="4" spans="1:9" x14ac:dyDescent="0.35">
      <c r="A4" s="2" t="s">
        <v>2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</row>
    <row r="5" spans="1:9" ht="39" x14ac:dyDescent="0.35">
      <c r="A5" s="3" t="s">
        <v>240</v>
      </c>
      <c r="B5" s="11">
        <f>'1. Datos Entrada'!B5/34</f>
        <v>0.88235294117647056</v>
      </c>
      <c r="C5" s="11">
        <f>(34-'1. Datos Entrada'!B5)/34</f>
        <v>0.11764705882352941</v>
      </c>
      <c r="D5" s="11">
        <f t="shared" ref="D5:E9" si="0">IF(B5&gt;0,-B5*LN(B5),0)</f>
        <v>0.11043806731235828</v>
      </c>
      <c r="E5" s="11">
        <f t="shared" si="0"/>
        <v>0.25177248982309069</v>
      </c>
      <c r="F5" s="12">
        <f>D5+E5</f>
        <v>0.36221055713544897</v>
      </c>
      <c r="G5" s="9">
        <f>(LN(34)-F5)/(5*LN(34)-SUM(F5:F9))</f>
        <v>0.21302232809962182</v>
      </c>
    </row>
    <row r="6" spans="1:9" x14ac:dyDescent="0.35">
      <c r="A6" s="3" t="s">
        <v>235</v>
      </c>
      <c r="B6" s="13">
        <f>'1. Datos Entrada'!B6/34</f>
        <v>0.47058823529411764</v>
      </c>
      <c r="C6" s="11">
        <f>(34-'1. Datos Entrada'!B6)/34</f>
        <v>0.52941176470588236</v>
      </c>
      <c r="D6" s="13">
        <f t="shared" si="0"/>
        <v>0.35471614229476717</v>
      </c>
      <c r="E6" s="13">
        <f t="shared" si="0"/>
        <v>0.33669993532235121</v>
      </c>
      <c r="F6" s="12">
        <f t="shared" ref="F6:F9" si="1">D6+E6</f>
        <v>0.69141607761711832</v>
      </c>
      <c r="G6" s="9">
        <f>(LN(34)-F6)/(5*LN(34)-SUM(F5:F9))</f>
        <v>0.19085898972533841</v>
      </c>
    </row>
    <row r="7" spans="1:9" x14ac:dyDescent="0.35">
      <c r="A7" s="3" t="s">
        <v>241</v>
      </c>
      <c r="B7" s="11">
        <f>'1. Datos Entrada'!B7/34</f>
        <v>0.41176470588235292</v>
      </c>
      <c r="C7" s="11">
        <f>(34-'1. Datos Entrada'!B7)/34</f>
        <v>0.58823529411764708</v>
      </c>
      <c r="D7" s="11">
        <f t="shared" si="0"/>
        <v>0.36536013911801879</v>
      </c>
      <c r="E7" s="11">
        <f t="shared" si="0"/>
        <v>0.31213426533068844</v>
      </c>
      <c r="F7" s="12">
        <f t="shared" si="1"/>
        <v>0.67749440444870723</v>
      </c>
      <c r="G7" s="9">
        <f>(LN(34)-F7)/(5*LN(34)-SUM(F5:F9))</f>
        <v>0.19179624847092755</v>
      </c>
    </row>
    <row r="8" spans="1:9" ht="26" x14ac:dyDescent="0.35">
      <c r="A8" s="3" t="s">
        <v>242</v>
      </c>
      <c r="B8" s="13">
        <f>'1. Datos Entrada'!B8/34</f>
        <v>0.3235294117647059</v>
      </c>
      <c r="C8" s="11">
        <f>(34-'1. Datos Entrada'!B8)/34</f>
        <v>0.67647058823529416</v>
      </c>
      <c r="D8" s="13">
        <f t="shared" si="0"/>
        <v>0.3650916991175206</v>
      </c>
      <c r="E8" s="13">
        <f t="shared" si="0"/>
        <v>0.26440956175886082</v>
      </c>
      <c r="F8" s="12">
        <f t="shared" si="1"/>
        <v>0.62950126087638147</v>
      </c>
      <c r="G8" s="9">
        <f>(LN(34)-F8)/(5*LN(34)-SUM(F5:F9))</f>
        <v>0.19502732515239607</v>
      </c>
    </row>
    <row r="9" spans="1:9" ht="26" x14ac:dyDescent="0.35">
      <c r="A9" s="3" t="s">
        <v>243</v>
      </c>
      <c r="B9" s="11">
        <f>'1. Datos Entrada'!B9/34</f>
        <v>0.14705882352941177</v>
      </c>
      <c r="C9" s="11">
        <f>(34-'1. Datos Entrada'!B9)/34</f>
        <v>0.8529411764705882</v>
      </c>
      <c r="D9" s="11">
        <f t="shared" si="0"/>
        <v>0.28190038414442076</v>
      </c>
      <c r="E9" s="11">
        <f t="shared" si="0"/>
        <v>0.13567282777238041</v>
      </c>
      <c r="F9" s="12">
        <f t="shared" si="1"/>
        <v>0.41757321191680119</v>
      </c>
      <c r="G9" s="9">
        <f>(LN(34)-F9)/(5*LN(34)-SUM(F5:F9))</f>
        <v>0.2092951085517161</v>
      </c>
    </row>
    <row r="10" spans="1:9" x14ac:dyDescent="0.35">
      <c r="A10" s="6" t="s">
        <v>9</v>
      </c>
      <c r="G10" s="10">
        <f>SUM(G5:G9)</f>
        <v>0.99999999999999989</v>
      </c>
    </row>
    <row r="11" spans="1:9" ht="15" customHeight="1" x14ac:dyDescent="0.35">
      <c r="A11" s="115"/>
      <c r="B11" s="115"/>
      <c r="C11" s="115"/>
      <c r="D11" s="115"/>
      <c r="E11" s="115"/>
      <c r="F11" s="115"/>
      <c r="G11" s="115"/>
      <c r="H11" s="115"/>
      <c r="I11" s="115"/>
    </row>
  </sheetData>
  <mergeCells count="3">
    <mergeCell ref="A1:I1"/>
    <mergeCell ref="A2:I2"/>
    <mergeCell ref="A11:I11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showGridLines="0" zoomScaleNormal="100" workbookViewId="0">
      <pane ySplit="4" topLeftCell="A5" activePane="bottomLeft" state="frozen"/>
      <selection pane="bottomLeft" activeCell="A2" sqref="A2:XFD2"/>
    </sheetView>
  </sheetViews>
  <sheetFormatPr baseColWidth="10" defaultColWidth="8.6328125" defaultRowHeight="14.5" x14ac:dyDescent="0.35"/>
  <cols>
    <col min="1" max="1" width="36.7265625" customWidth="1"/>
    <col min="2" max="6" width="11" customWidth="1"/>
    <col min="7" max="8" width="12" customWidth="1"/>
  </cols>
  <sheetData>
    <row r="1" spans="1:8" ht="15" customHeight="1" x14ac:dyDescent="0.35">
      <c r="A1" s="113" t="s">
        <v>21</v>
      </c>
      <c r="B1" s="113"/>
      <c r="C1" s="113"/>
      <c r="D1" s="113"/>
      <c r="E1" s="113"/>
      <c r="F1" s="113"/>
      <c r="G1" s="113"/>
      <c r="H1" s="113"/>
    </row>
    <row r="3" spans="1:8" ht="51.75" customHeight="1" x14ac:dyDescent="0.35">
      <c r="A3" s="14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</row>
    <row r="4" spans="1:8" ht="39" x14ac:dyDescent="0.35">
      <c r="A4" s="3" t="s">
        <v>240</v>
      </c>
      <c r="B4" s="13">
        <f>'1. Datos Entrada'!B5/'1. Datos Entrada'!B5</f>
        <v>1</v>
      </c>
      <c r="C4" s="13">
        <f>'1. Datos Entrada'!B5/'1. Datos Entrada'!B6</f>
        <v>1.875</v>
      </c>
      <c r="D4" s="13">
        <f>'1. Datos Entrada'!B5/'1. Datos Entrada'!B7</f>
        <v>2.1428571428571428</v>
      </c>
      <c r="E4" s="13">
        <f>'1. Datos Entrada'!B5/'1. Datos Entrada'!B8</f>
        <v>2.7272727272727271</v>
      </c>
      <c r="F4" s="13">
        <f>'1. Datos Entrada'!B5/'1. Datos Entrada'!B9</f>
        <v>6</v>
      </c>
      <c r="G4" s="12">
        <f>SUM(B4:F4)</f>
        <v>13.745129870129869</v>
      </c>
      <c r="H4" s="9">
        <f>G4/SUM(G4:G8)</f>
        <v>0.39473684210526311</v>
      </c>
    </row>
    <row r="5" spans="1:8" x14ac:dyDescent="0.35">
      <c r="A5" s="3" t="s">
        <v>235</v>
      </c>
      <c r="B5" s="11">
        <f>'1. Datos Entrada'!B6/'1. Datos Entrada'!B5</f>
        <v>0.53333333333333333</v>
      </c>
      <c r="C5" s="11">
        <f>'1. Datos Entrada'!B6/'1. Datos Entrada'!B6</f>
        <v>1</v>
      </c>
      <c r="D5" s="11">
        <f>'1. Datos Entrada'!B6/'1. Datos Entrada'!B7</f>
        <v>1.1428571428571428</v>
      </c>
      <c r="E5" s="11">
        <f>'1. Datos Entrada'!B6/'1. Datos Entrada'!B8</f>
        <v>1.4545454545454546</v>
      </c>
      <c r="F5" s="11">
        <f>'1. Datos Entrada'!B6/'1. Datos Entrada'!B9</f>
        <v>3.2</v>
      </c>
      <c r="G5" s="12">
        <f>SUM(B5:F5)</f>
        <v>7.3307359307359308</v>
      </c>
      <c r="H5" s="9">
        <f>G5/SUM(G4:G8)</f>
        <v>0.21052631578947367</v>
      </c>
    </row>
    <row r="6" spans="1:8" x14ac:dyDescent="0.35">
      <c r="A6" s="3" t="s">
        <v>241</v>
      </c>
      <c r="B6" s="13">
        <f>'1. Datos Entrada'!B7/'1. Datos Entrada'!B5</f>
        <v>0.46666666666666667</v>
      </c>
      <c r="C6" s="13">
        <f>'1. Datos Entrada'!B7/'1. Datos Entrada'!B6</f>
        <v>0.875</v>
      </c>
      <c r="D6" s="13">
        <f>'1. Datos Entrada'!B7/'1. Datos Entrada'!B7</f>
        <v>1</v>
      </c>
      <c r="E6" s="13">
        <f>'1. Datos Entrada'!B7/'1. Datos Entrada'!B8</f>
        <v>1.2727272727272727</v>
      </c>
      <c r="F6" s="13">
        <f>'1. Datos Entrada'!B7/'1. Datos Entrada'!B9</f>
        <v>2.8</v>
      </c>
      <c r="G6" s="12">
        <f>SUM(B6:F6)</f>
        <v>6.4143939393939391</v>
      </c>
      <c r="H6" s="9">
        <f>G6/SUM(G4:G8)</f>
        <v>0.18421052631578946</v>
      </c>
    </row>
    <row r="7" spans="1:8" ht="26" x14ac:dyDescent="0.35">
      <c r="A7" s="3" t="s">
        <v>242</v>
      </c>
      <c r="B7" s="11">
        <f>'1. Datos Entrada'!B8/'1. Datos Entrada'!B5</f>
        <v>0.36666666666666664</v>
      </c>
      <c r="C7" s="11">
        <f>'1. Datos Entrada'!B8/'1. Datos Entrada'!B6</f>
        <v>0.6875</v>
      </c>
      <c r="D7" s="11">
        <f>'1. Datos Entrada'!B8/'1. Datos Entrada'!B7</f>
        <v>0.7857142857142857</v>
      </c>
      <c r="E7" s="11">
        <f>'1. Datos Entrada'!B8/'1. Datos Entrada'!B8</f>
        <v>1</v>
      </c>
      <c r="F7" s="11">
        <f>'1. Datos Entrada'!B8/'1. Datos Entrada'!B9</f>
        <v>2.2000000000000002</v>
      </c>
      <c r="G7" s="12">
        <f>SUM(B7:F7)</f>
        <v>5.0398809523809529</v>
      </c>
      <c r="H7" s="9">
        <f>G7/SUM(G4:G8)</f>
        <v>0.14473684210526316</v>
      </c>
    </row>
    <row r="8" spans="1:8" ht="26" x14ac:dyDescent="0.35">
      <c r="A8" s="3" t="s">
        <v>243</v>
      </c>
      <c r="B8" s="13">
        <f>'1. Datos Entrada'!B9/'1. Datos Entrada'!B5</f>
        <v>0.16666666666666666</v>
      </c>
      <c r="C8" s="13">
        <f>'1. Datos Entrada'!B9/'1. Datos Entrada'!B6</f>
        <v>0.3125</v>
      </c>
      <c r="D8" s="13">
        <f>'1. Datos Entrada'!B9/'1. Datos Entrada'!B7</f>
        <v>0.35714285714285715</v>
      </c>
      <c r="E8" s="13">
        <f>'1. Datos Entrada'!B9/'1. Datos Entrada'!B8</f>
        <v>0.45454545454545453</v>
      </c>
      <c r="F8" s="13">
        <f>'1. Datos Entrada'!B9/'1. Datos Entrada'!B9</f>
        <v>1</v>
      </c>
      <c r="G8" s="12">
        <f>SUM(B8:F8)</f>
        <v>2.2908549783549783</v>
      </c>
      <c r="H8" s="9">
        <f>G8/SUM(G4:G8)</f>
        <v>6.5789473684210523E-2</v>
      </c>
    </row>
    <row r="9" spans="1:8" x14ac:dyDescent="0.35">
      <c r="A9" s="6" t="s">
        <v>9</v>
      </c>
      <c r="H9" s="10">
        <f>SUM(H4:H8)</f>
        <v>0.99999999999999989</v>
      </c>
    </row>
    <row r="11" spans="1:8" ht="21.75" customHeight="1" x14ac:dyDescent="0.35">
      <c r="A11" s="116"/>
      <c r="B11" s="116"/>
      <c r="C11" s="116"/>
      <c r="D11" s="116"/>
      <c r="E11" s="116"/>
      <c r="F11" s="116"/>
      <c r="G11" s="116"/>
      <c r="H11" s="116"/>
    </row>
  </sheetData>
  <mergeCells count="2">
    <mergeCell ref="A1:H1"/>
    <mergeCell ref="A11:H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6"/>
  <sheetViews>
    <sheetView showGridLines="0" zoomScaleNormal="100" workbookViewId="0">
      <pane ySplit="3" topLeftCell="A4" activePane="bottomLeft" state="frozen"/>
      <selection pane="bottomLeft" activeCell="A2" sqref="A2:XFD2"/>
    </sheetView>
  </sheetViews>
  <sheetFormatPr baseColWidth="10" defaultColWidth="8.6328125" defaultRowHeight="14.5" x14ac:dyDescent="0.35"/>
  <cols>
    <col min="1" max="1" width="39.453125" customWidth="1"/>
    <col min="2" max="2" width="22" customWidth="1"/>
    <col min="3" max="5" width="24" customWidth="1"/>
  </cols>
  <sheetData>
    <row r="1" spans="1:7" ht="15" customHeight="1" x14ac:dyDescent="0.35">
      <c r="A1" s="113" t="s">
        <v>30</v>
      </c>
      <c r="B1" s="113"/>
      <c r="C1" s="113"/>
      <c r="D1" s="113"/>
      <c r="E1" s="113"/>
      <c r="F1" s="113"/>
      <c r="G1" s="113"/>
    </row>
    <row r="2" spans="1:7" x14ac:dyDescent="0.35">
      <c r="A2" s="15" t="s">
        <v>31</v>
      </c>
      <c r="B2" s="9">
        <v>0.4</v>
      </c>
      <c r="C2" s="15" t="s">
        <v>32</v>
      </c>
      <c r="D2" s="9">
        <v>0.3</v>
      </c>
      <c r="E2" s="15" t="s">
        <v>33</v>
      </c>
      <c r="F2" s="9">
        <v>0.3</v>
      </c>
      <c r="G2" s="16" t="s">
        <v>34</v>
      </c>
    </row>
    <row r="3" spans="1:7" x14ac:dyDescent="0.35">
      <c r="A3" s="6" t="s">
        <v>2</v>
      </c>
      <c r="B3" s="6" t="s">
        <v>35</v>
      </c>
      <c r="C3" s="6" t="s">
        <v>36</v>
      </c>
      <c r="D3" s="6" t="s">
        <v>37</v>
      </c>
      <c r="E3" s="6" t="s">
        <v>38</v>
      </c>
    </row>
    <row r="4" spans="1:7" ht="26" x14ac:dyDescent="0.35">
      <c r="A4" s="3" t="s">
        <v>240</v>
      </c>
      <c r="B4" s="17">
        <f>'2.M1 Frecuencia Ponderada'!D4</f>
        <v>0.39473684210526316</v>
      </c>
      <c r="C4" s="17">
        <f>'3.M2 Entropia Shannon'!G5</f>
        <v>0.21302232809962182</v>
      </c>
      <c r="D4" s="17">
        <f>'4.M3 AHP Simplificado'!H4</f>
        <v>0.39473684210526311</v>
      </c>
      <c r="E4" s="18">
        <f>$B$2*B4+$D$2*C4+$F$2*D4</f>
        <v>0.34022248790357074</v>
      </c>
    </row>
    <row r="5" spans="1:7" x14ac:dyDescent="0.35">
      <c r="A5" s="3" t="s">
        <v>235</v>
      </c>
      <c r="B5" s="19">
        <f>'2.M1 Frecuencia Ponderada'!D5</f>
        <v>0.21052631578947367</v>
      </c>
      <c r="C5" s="19">
        <f>'3.M2 Entropia Shannon'!G6</f>
        <v>0.19085898972533841</v>
      </c>
      <c r="D5" s="19">
        <f>'4.M3 AHP Simplificado'!H5</f>
        <v>0.21052631578947367</v>
      </c>
      <c r="E5" s="18">
        <f>$B$2*B5+$D$2*C5+$F$2*D5</f>
        <v>0.20462611797023306</v>
      </c>
    </row>
    <row r="6" spans="1:7" x14ac:dyDescent="0.35">
      <c r="A6" s="3" t="s">
        <v>241</v>
      </c>
      <c r="B6" s="17">
        <f>'2.M1 Frecuencia Ponderada'!D6</f>
        <v>0.18421052631578946</v>
      </c>
      <c r="C6" s="17">
        <f>'3.M2 Entropia Shannon'!G7</f>
        <v>0.19179624847092755</v>
      </c>
      <c r="D6" s="17">
        <f>'4.M3 AHP Simplificado'!H6</f>
        <v>0.18421052631578946</v>
      </c>
      <c r="E6" s="18">
        <f>$B$2*B6+$D$2*C6+$F$2*D6</f>
        <v>0.18648624296233091</v>
      </c>
    </row>
    <row r="7" spans="1:7" ht="26" x14ac:dyDescent="0.35">
      <c r="A7" s="3" t="s">
        <v>242</v>
      </c>
      <c r="B7" s="19">
        <f>'2.M1 Frecuencia Ponderada'!D7</f>
        <v>0.14473684210526316</v>
      </c>
      <c r="C7" s="19">
        <f>'3.M2 Entropia Shannon'!G8</f>
        <v>0.19502732515239607</v>
      </c>
      <c r="D7" s="19">
        <f>'4.M3 AHP Simplificado'!H7</f>
        <v>0.14473684210526316</v>
      </c>
      <c r="E7" s="18">
        <f>$B$2*B7+$D$2*C7+$F$2*D7</f>
        <v>0.15982398701940304</v>
      </c>
    </row>
    <row r="8" spans="1:7" ht="26" x14ac:dyDescent="0.35">
      <c r="A8" s="3" t="s">
        <v>243</v>
      </c>
      <c r="B8" s="17">
        <f>'2.M1 Frecuencia Ponderada'!D8</f>
        <v>6.5789473684210523E-2</v>
      </c>
      <c r="C8" s="17">
        <f>'3.M2 Entropia Shannon'!G9</f>
        <v>0.2092951085517161</v>
      </c>
      <c r="D8" s="17">
        <f>'4.M3 AHP Simplificado'!H8</f>
        <v>6.5789473684210523E-2</v>
      </c>
      <c r="E8" s="18">
        <f>$B$2*B8+$D$2*C8+$F$2*D8</f>
        <v>0.10884116414446218</v>
      </c>
    </row>
    <row r="9" spans="1:7" x14ac:dyDescent="0.35">
      <c r="A9" s="67" t="s">
        <v>9</v>
      </c>
      <c r="B9" s="68">
        <f>SUM(B4:B8)</f>
        <v>1</v>
      </c>
      <c r="C9" s="68">
        <f>SUM(C4:C8)</f>
        <v>0.99999999999999989</v>
      </c>
      <c r="D9" s="68">
        <f>SUM(D4:D8)</f>
        <v>0.99999999999999989</v>
      </c>
      <c r="E9" s="68">
        <f>SUM(E4:E8)</f>
        <v>0.99999999999999989</v>
      </c>
    </row>
    <row r="10" spans="1:7" ht="15" customHeight="1" x14ac:dyDescent="0.35">
      <c r="A10" s="117"/>
      <c r="B10" s="117"/>
      <c r="C10" s="117"/>
      <c r="D10" s="117"/>
      <c r="E10" s="117"/>
    </row>
    <row r="16" spans="1:7" ht="16" x14ac:dyDescent="0.45">
      <c r="E16" s="61" t="s">
        <v>233</v>
      </c>
    </row>
  </sheetData>
  <mergeCells count="2">
    <mergeCell ref="A1:G1"/>
    <mergeCell ref="A10:E1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4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33" sqref="A33"/>
      <selection pane="bottomRight" activeCell="D8" sqref="D8"/>
    </sheetView>
  </sheetViews>
  <sheetFormatPr baseColWidth="10" defaultColWidth="8.6328125" defaultRowHeight="14.5" x14ac:dyDescent="0.35"/>
  <cols>
    <col min="1" max="1" width="8.6328125" bestFit="1" customWidth="1"/>
    <col min="2" max="2" width="38.08984375" customWidth="1"/>
    <col min="3" max="3" width="23.7265625" customWidth="1"/>
    <col min="4" max="4" width="14" customWidth="1"/>
    <col min="5" max="5" width="12" customWidth="1"/>
    <col min="6" max="6" width="13" customWidth="1"/>
    <col min="7" max="7" width="19.7265625" customWidth="1"/>
    <col min="8" max="8" width="37.90625" customWidth="1"/>
  </cols>
  <sheetData>
    <row r="1" spans="1:9" ht="15" customHeight="1" x14ac:dyDescent="0.35">
      <c r="A1" s="119" t="s">
        <v>39</v>
      </c>
      <c r="B1" s="119"/>
      <c r="C1" s="119"/>
      <c r="D1" s="119"/>
      <c r="E1" s="119"/>
      <c r="F1" s="119"/>
      <c r="G1" s="119"/>
      <c r="H1" s="119"/>
      <c r="I1" s="119"/>
    </row>
    <row r="2" spans="1:9" ht="15" customHeight="1" x14ac:dyDescent="0.35">
      <c r="A2" s="120" t="s">
        <v>266</v>
      </c>
      <c r="B2" s="120"/>
      <c r="C2" s="120"/>
      <c r="D2" s="120"/>
      <c r="E2" s="120"/>
      <c r="F2" s="120"/>
      <c r="G2" s="120"/>
      <c r="H2" s="120"/>
      <c r="I2" s="120"/>
    </row>
    <row r="3" spans="1:9" ht="92" x14ac:dyDescent="0.35">
      <c r="A3" s="73" t="s">
        <v>40</v>
      </c>
      <c r="B3" s="73" t="s">
        <v>41</v>
      </c>
      <c r="C3" s="73" t="s">
        <v>245</v>
      </c>
      <c r="D3" s="73" t="s">
        <v>244</v>
      </c>
      <c r="E3" s="73" t="s">
        <v>246</v>
      </c>
      <c r="F3" s="73" t="s">
        <v>247</v>
      </c>
      <c r="G3" s="73" t="s">
        <v>248</v>
      </c>
      <c r="H3" s="73" t="s">
        <v>42</v>
      </c>
    </row>
    <row r="4" spans="1:9" ht="15.75" customHeight="1" x14ac:dyDescent="0.35">
      <c r="A4" s="118" t="s">
        <v>43</v>
      </c>
      <c r="B4" s="118"/>
      <c r="C4" s="118"/>
      <c r="D4" s="118"/>
      <c r="E4" s="118"/>
      <c r="F4" s="118"/>
      <c r="G4" s="118"/>
      <c r="H4" s="118"/>
    </row>
    <row r="5" spans="1:9" ht="23" x14ac:dyDescent="0.35">
      <c r="A5" s="74">
        <v>1</v>
      </c>
      <c r="B5" s="75" t="s">
        <v>44</v>
      </c>
      <c r="C5" s="76" t="s">
        <v>45</v>
      </c>
      <c r="D5" s="77" t="s">
        <v>238</v>
      </c>
      <c r="E5" s="76" t="s">
        <v>45</v>
      </c>
      <c r="F5" s="76" t="s">
        <v>45</v>
      </c>
      <c r="G5" s="77" t="s">
        <v>238</v>
      </c>
      <c r="H5" s="75" t="s">
        <v>46</v>
      </c>
    </row>
    <row r="6" spans="1:9" ht="18" customHeight="1" x14ac:dyDescent="0.35">
      <c r="A6" s="78">
        <v>2</v>
      </c>
      <c r="B6" s="79" t="s">
        <v>47</v>
      </c>
      <c r="C6" s="76" t="s">
        <v>45</v>
      </c>
      <c r="D6" s="77" t="s">
        <v>238</v>
      </c>
      <c r="E6" s="76" t="s">
        <v>45</v>
      </c>
      <c r="F6" s="77" t="s">
        <v>238</v>
      </c>
      <c r="G6" s="77" t="s">
        <v>238</v>
      </c>
      <c r="H6" s="79" t="s">
        <v>48</v>
      </c>
    </row>
    <row r="7" spans="1:9" ht="18" customHeight="1" x14ac:dyDescent="0.35">
      <c r="A7" s="74">
        <v>3</v>
      </c>
      <c r="B7" s="75" t="s">
        <v>49</v>
      </c>
      <c r="C7" s="76" t="s">
        <v>45</v>
      </c>
      <c r="D7" s="77" t="s">
        <v>238</v>
      </c>
      <c r="E7" s="77" t="s">
        <v>238</v>
      </c>
      <c r="F7" s="76" t="s">
        <v>45</v>
      </c>
      <c r="G7" s="76" t="s">
        <v>45</v>
      </c>
      <c r="H7" s="75" t="s">
        <v>50</v>
      </c>
    </row>
    <row r="8" spans="1:9" ht="23" x14ac:dyDescent="0.35">
      <c r="A8" s="78">
        <v>4</v>
      </c>
      <c r="B8" s="79" t="s">
        <v>51</v>
      </c>
      <c r="C8" s="76" t="s">
        <v>45</v>
      </c>
      <c r="D8" s="77" t="s">
        <v>238</v>
      </c>
      <c r="E8" s="76" t="s">
        <v>45</v>
      </c>
      <c r="F8" s="77" t="s">
        <v>238</v>
      </c>
      <c r="G8" s="77" t="s">
        <v>238</v>
      </c>
      <c r="H8" s="79" t="s">
        <v>52</v>
      </c>
    </row>
    <row r="9" spans="1:9" ht="23" x14ac:dyDescent="0.35">
      <c r="A9" s="74">
        <v>5</v>
      </c>
      <c r="B9" s="75" t="s">
        <v>53</v>
      </c>
      <c r="C9" s="76" t="s">
        <v>45</v>
      </c>
      <c r="D9" s="76" t="s">
        <v>45</v>
      </c>
      <c r="E9" s="76" t="s">
        <v>45</v>
      </c>
      <c r="F9" s="77" t="s">
        <v>238</v>
      </c>
      <c r="G9" s="77" t="s">
        <v>238</v>
      </c>
      <c r="H9" s="75" t="s">
        <v>54</v>
      </c>
    </row>
    <row r="10" spans="1:9" ht="18" customHeight="1" x14ac:dyDescent="0.35">
      <c r="A10" s="78">
        <v>6</v>
      </c>
      <c r="B10" s="79" t="s">
        <v>55</v>
      </c>
      <c r="C10" s="76" t="s">
        <v>45</v>
      </c>
      <c r="D10" s="76" t="s">
        <v>45</v>
      </c>
      <c r="E10" s="77" t="s">
        <v>238</v>
      </c>
      <c r="F10" s="77" t="s">
        <v>238</v>
      </c>
      <c r="G10" s="77" t="s">
        <v>238</v>
      </c>
      <c r="H10" s="79" t="s">
        <v>56</v>
      </c>
    </row>
    <row r="11" spans="1:9" ht="18" customHeight="1" x14ac:dyDescent="0.35">
      <c r="A11" s="74">
        <v>7</v>
      </c>
      <c r="B11" s="75" t="s">
        <v>57</v>
      </c>
      <c r="C11" s="76" t="s">
        <v>45</v>
      </c>
      <c r="D11" s="77" t="s">
        <v>238</v>
      </c>
      <c r="E11" s="77" t="s">
        <v>238</v>
      </c>
      <c r="F11" s="77" t="s">
        <v>238</v>
      </c>
      <c r="G11" s="77" t="s">
        <v>238</v>
      </c>
      <c r="H11" s="75" t="s">
        <v>58</v>
      </c>
    </row>
    <row r="12" spans="1:9" ht="18" customHeight="1" x14ac:dyDescent="0.35">
      <c r="A12" s="78">
        <v>8</v>
      </c>
      <c r="B12" s="79" t="s">
        <v>59</v>
      </c>
      <c r="C12" s="76" t="s">
        <v>45</v>
      </c>
      <c r="D12" s="77" t="s">
        <v>238</v>
      </c>
      <c r="E12" s="76" t="s">
        <v>45</v>
      </c>
      <c r="F12" s="77" t="s">
        <v>238</v>
      </c>
      <c r="G12" s="77" t="s">
        <v>238</v>
      </c>
      <c r="H12" s="79" t="s">
        <v>60</v>
      </c>
    </row>
    <row r="13" spans="1:9" ht="23" x14ac:dyDescent="0.35">
      <c r="A13" s="74">
        <v>9</v>
      </c>
      <c r="B13" s="75" t="s">
        <v>61</v>
      </c>
      <c r="C13" s="77" t="s">
        <v>238</v>
      </c>
      <c r="D13" s="77" t="s">
        <v>238</v>
      </c>
      <c r="E13" s="76" t="s">
        <v>45</v>
      </c>
      <c r="F13" s="77" t="s">
        <v>238</v>
      </c>
      <c r="G13" s="77" t="s">
        <v>238</v>
      </c>
      <c r="H13" s="75" t="s">
        <v>62</v>
      </c>
    </row>
    <row r="14" spans="1:9" ht="23" x14ac:dyDescent="0.35">
      <c r="A14" s="78">
        <v>10</v>
      </c>
      <c r="B14" s="79" t="s">
        <v>63</v>
      </c>
      <c r="C14" s="76" t="s">
        <v>45</v>
      </c>
      <c r="D14" s="77" t="s">
        <v>238</v>
      </c>
      <c r="E14" s="76" t="s">
        <v>45</v>
      </c>
      <c r="F14" s="76" t="s">
        <v>45</v>
      </c>
      <c r="G14" s="76" t="s">
        <v>45</v>
      </c>
      <c r="H14" s="79" t="s">
        <v>64</v>
      </c>
    </row>
    <row r="15" spans="1:9" ht="23" x14ac:dyDescent="0.35">
      <c r="A15" s="74">
        <v>11</v>
      </c>
      <c r="B15" s="75" t="s">
        <v>65</v>
      </c>
      <c r="C15" s="77" t="s">
        <v>238</v>
      </c>
      <c r="D15" s="77" t="s">
        <v>238</v>
      </c>
      <c r="E15" s="77" t="s">
        <v>238</v>
      </c>
      <c r="F15" s="76" t="s">
        <v>45</v>
      </c>
      <c r="G15" s="77" t="s">
        <v>238</v>
      </c>
      <c r="H15" s="75" t="s">
        <v>66</v>
      </c>
    </row>
    <row r="16" spans="1:9" ht="23" x14ac:dyDescent="0.35">
      <c r="A16" s="78">
        <v>12</v>
      </c>
      <c r="B16" s="79" t="s">
        <v>67</v>
      </c>
      <c r="C16" s="76" t="s">
        <v>45</v>
      </c>
      <c r="D16" s="76" t="s">
        <v>45</v>
      </c>
      <c r="E16" s="76" t="s">
        <v>45</v>
      </c>
      <c r="F16" s="76" t="s">
        <v>45</v>
      </c>
      <c r="G16" s="76" t="s">
        <v>45</v>
      </c>
      <c r="H16" s="79" t="s">
        <v>68</v>
      </c>
    </row>
    <row r="17" spans="1:8" ht="23" x14ac:dyDescent="0.35">
      <c r="A17" s="74">
        <v>13</v>
      </c>
      <c r="B17" s="75" t="s">
        <v>69</v>
      </c>
      <c r="C17" s="76" t="s">
        <v>45</v>
      </c>
      <c r="D17" s="76" t="s">
        <v>45</v>
      </c>
      <c r="E17" s="76" t="s">
        <v>45</v>
      </c>
      <c r="F17" s="76" t="s">
        <v>45</v>
      </c>
      <c r="G17" s="76" t="s">
        <v>45</v>
      </c>
      <c r="H17" s="75" t="s">
        <v>70</v>
      </c>
    </row>
    <row r="18" spans="1:8" ht="15.75" customHeight="1" x14ac:dyDescent="0.35">
      <c r="A18" s="118" t="s">
        <v>71</v>
      </c>
      <c r="B18" s="118"/>
      <c r="C18" s="118"/>
      <c r="D18" s="118"/>
      <c r="E18" s="118"/>
      <c r="F18" s="118"/>
      <c r="G18" s="118"/>
      <c r="H18" s="118"/>
    </row>
    <row r="19" spans="1:8" ht="18" customHeight="1" x14ac:dyDescent="0.35">
      <c r="A19" s="74">
        <v>14</v>
      </c>
      <c r="B19" s="75" t="s">
        <v>72</v>
      </c>
      <c r="C19" s="76" t="s">
        <v>45</v>
      </c>
      <c r="D19" s="76" t="s">
        <v>45</v>
      </c>
      <c r="E19" s="77" t="s">
        <v>238</v>
      </c>
      <c r="F19" s="77" t="s">
        <v>238</v>
      </c>
      <c r="G19" s="77" t="s">
        <v>238</v>
      </c>
      <c r="H19" s="75" t="s">
        <v>73</v>
      </c>
    </row>
    <row r="20" spans="1:8" ht="18" customHeight="1" x14ac:dyDescent="0.35">
      <c r="A20" s="78">
        <v>15</v>
      </c>
      <c r="B20" s="79" t="s">
        <v>74</v>
      </c>
      <c r="C20" s="76" t="s">
        <v>45</v>
      </c>
      <c r="D20" s="77" t="s">
        <v>238</v>
      </c>
      <c r="E20" s="77" t="s">
        <v>238</v>
      </c>
      <c r="F20" s="77" t="s">
        <v>238</v>
      </c>
      <c r="G20" s="77" t="s">
        <v>238</v>
      </c>
      <c r="H20" s="79" t="s">
        <v>75</v>
      </c>
    </row>
    <row r="21" spans="1:8" ht="18" customHeight="1" x14ac:dyDescent="0.35">
      <c r="A21" s="74">
        <v>16</v>
      </c>
      <c r="B21" s="75" t="s">
        <v>76</v>
      </c>
      <c r="C21" s="76" t="s">
        <v>45</v>
      </c>
      <c r="D21" s="76" t="s">
        <v>45</v>
      </c>
      <c r="E21" s="77" t="s">
        <v>238</v>
      </c>
      <c r="F21" s="77" t="s">
        <v>238</v>
      </c>
      <c r="G21" s="77" t="s">
        <v>238</v>
      </c>
      <c r="H21" s="75" t="s">
        <v>77</v>
      </c>
    </row>
    <row r="22" spans="1:8" ht="23" x14ac:dyDescent="0.35">
      <c r="A22" s="78">
        <v>17</v>
      </c>
      <c r="B22" s="79" t="s">
        <v>78</v>
      </c>
      <c r="C22" s="76" t="s">
        <v>45</v>
      </c>
      <c r="D22" s="76" t="s">
        <v>45</v>
      </c>
      <c r="E22" s="76" t="s">
        <v>45</v>
      </c>
      <c r="F22" s="76" t="s">
        <v>45</v>
      </c>
      <c r="G22" s="77" t="s">
        <v>238</v>
      </c>
      <c r="H22" s="79" t="s">
        <v>79</v>
      </c>
    </row>
    <row r="23" spans="1:8" ht="23" x14ac:dyDescent="0.35">
      <c r="A23" s="74">
        <v>18</v>
      </c>
      <c r="B23" s="75" t="s">
        <v>80</v>
      </c>
      <c r="C23" s="76" t="s">
        <v>45</v>
      </c>
      <c r="D23" s="77" t="s">
        <v>238</v>
      </c>
      <c r="E23" s="77" t="s">
        <v>238</v>
      </c>
      <c r="F23" s="76" t="s">
        <v>45</v>
      </c>
      <c r="G23" s="77" t="s">
        <v>238</v>
      </c>
      <c r="H23" s="75" t="s">
        <v>81</v>
      </c>
    </row>
    <row r="24" spans="1:8" ht="15.75" customHeight="1" x14ac:dyDescent="0.35">
      <c r="A24" s="118" t="s">
        <v>82</v>
      </c>
      <c r="B24" s="118"/>
      <c r="C24" s="118"/>
      <c r="D24" s="118"/>
      <c r="E24" s="118"/>
      <c r="F24" s="118"/>
      <c r="G24" s="118"/>
      <c r="H24" s="118"/>
    </row>
    <row r="25" spans="1:8" x14ac:dyDescent="0.35">
      <c r="A25" s="74">
        <v>19</v>
      </c>
      <c r="B25" s="75" t="s">
        <v>83</v>
      </c>
      <c r="C25" s="77" t="s">
        <v>238</v>
      </c>
      <c r="D25" s="77" t="s">
        <v>238</v>
      </c>
      <c r="E25" s="76" t="s">
        <v>45</v>
      </c>
      <c r="F25" s="77" t="s">
        <v>238</v>
      </c>
      <c r="G25" s="77" t="s">
        <v>238</v>
      </c>
      <c r="H25" s="75" t="s">
        <v>84</v>
      </c>
    </row>
    <row r="26" spans="1:8" ht="23" x14ac:dyDescent="0.35">
      <c r="A26" s="78">
        <v>20</v>
      </c>
      <c r="B26" s="79" t="s">
        <v>85</v>
      </c>
      <c r="C26" s="76" t="s">
        <v>45</v>
      </c>
      <c r="D26" s="76" t="s">
        <v>45</v>
      </c>
      <c r="E26" s="76" t="s">
        <v>45</v>
      </c>
      <c r="F26" s="77" t="s">
        <v>238</v>
      </c>
      <c r="G26" s="77" t="s">
        <v>238</v>
      </c>
      <c r="H26" s="79" t="s">
        <v>86</v>
      </c>
    </row>
    <row r="27" spans="1:8" ht="23" x14ac:dyDescent="0.35">
      <c r="A27" s="74">
        <v>21</v>
      </c>
      <c r="B27" s="75" t="s">
        <v>87</v>
      </c>
      <c r="C27" s="76" t="s">
        <v>45</v>
      </c>
      <c r="D27" s="76" t="s">
        <v>45</v>
      </c>
      <c r="E27" s="76" t="s">
        <v>45</v>
      </c>
      <c r="F27" s="77" t="s">
        <v>238</v>
      </c>
      <c r="G27" s="77" t="s">
        <v>238</v>
      </c>
      <c r="H27" s="75" t="s">
        <v>88</v>
      </c>
    </row>
    <row r="28" spans="1:8" ht="23" x14ac:dyDescent="0.35">
      <c r="A28" s="78">
        <v>22</v>
      </c>
      <c r="B28" s="79" t="s">
        <v>89</v>
      </c>
      <c r="C28" s="76" t="s">
        <v>45</v>
      </c>
      <c r="D28" s="76" t="s">
        <v>45</v>
      </c>
      <c r="E28" s="77" t="s">
        <v>238</v>
      </c>
      <c r="F28" s="77" t="s">
        <v>238</v>
      </c>
      <c r="G28" s="77" t="s">
        <v>238</v>
      </c>
      <c r="H28" s="79" t="s">
        <v>90</v>
      </c>
    </row>
    <row r="29" spans="1:8" ht="15.75" customHeight="1" x14ac:dyDescent="0.35">
      <c r="A29" s="118" t="s">
        <v>91</v>
      </c>
      <c r="B29" s="118"/>
      <c r="C29" s="118"/>
      <c r="D29" s="118"/>
      <c r="E29" s="118"/>
      <c r="F29" s="118"/>
      <c r="G29" s="118"/>
      <c r="H29" s="118"/>
    </row>
    <row r="30" spans="1:8" ht="23" x14ac:dyDescent="0.35">
      <c r="A30" s="78">
        <v>23</v>
      </c>
      <c r="B30" s="79" t="s">
        <v>92</v>
      </c>
      <c r="C30" s="77" t="s">
        <v>238</v>
      </c>
      <c r="D30" s="76" t="s">
        <v>45</v>
      </c>
      <c r="E30" s="77" t="s">
        <v>238</v>
      </c>
      <c r="F30" s="77" t="s">
        <v>238</v>
      </c>
      <c r="G30" s="76" t="s">
        <v>45</v>
      </c>
      <c r="H30" s="79" t="s">
        <v>93</v>
      </c>
    </row>
    <row r="31" spans="1:8" ht="23" x14ac:dyDescent="0.35">
      <c r="A31" s="74">
        <v>24</v>
      </c>
      <c r="B31" s="75" t="s">
        <v>94</v>
      </c>
      <c r="C31" s="76" t="s">
        <v>45</v>
      </c>
      <c r="D31" s="77" t="s">
        <v>238</v>
      </c>
      <c r="E31" s="76" t="s">
        <v>45</v>
      </c>
      <c r="F31" s="77" t="s">
        <v>238</v>
      </c>
      <c r="G31" s="77" t="s">
        <v>238</v>
      </c>
      <c r="H31" s="75" t="s">
        <v>95</v>
      </c>
    </row>
    <row r="32" spans="1:8" ht="15.75" customHeight="1" x14ac:dyDescent="0.35">
      <c r="A32" s="118" t="s">
        <v>96</v>
      </c>
      <c r="B32" s="118"/>
      <c r="C32" s="118"/>
      <c r="D32" s="118"/>
      <c r="E32" s="118"/>
      <c r="F32" s="118"/>
      <c r="G32" s="118"/>
      <c r="H32" s="118"/>
    </row>
    <row r="33" spans="1:8" ht="18" customHeight="1" x14ac:dyDescent="0.35">
      <c r="A33" s="74">
        <v>25</v>
      </c>
      <c r="B33" s="75" t="s">
        <v>97</v>
      </c>
      <c r="C33" s="76" t="s">
        <v>45</v>
      </c>
      <c r="D33" s="76" t="s">
        <v>45</v>
      </c>
      <c r="E33" s="77" t="s">
        <v>238</v>
      </c>
      <c r="F33" s="77" t="s">
        <v>238</v>
      </c>
      <c r="G33" s="77" t="s">
        <v>238</v>
      </c>
      <c r="H33" s="75" t="s">
        <v>98</v>
      </c>
    </row>
    <row r="34" spans="1:8" ht="18" customHeight="1" x14ac:dyDescent="0.35">
      <c r="A34" s="78">
        <v>26</v>
      </c>
      <c r="B34" s="79" t="s">
        <v>99</v>
      </c>
      <c r="C34" s="76" t="s">
        <v>45</v>
      </c>
      <c r="D34" s="77" t="s">
        <v>238</v>
      </c>
      <c r="E34" s="77" t="s">
        <v>238</v>
      </c>
      <c r="F34" s="76" t="s">
        <v>45</v>
      </c>
      <c r="G34" s="77" t="s">
        <v>238</v>
      </c>
      <c r="H34" s="79" t="s">
        <v>100</v>
      </c>
    </row>
    <row r="35" spans="1:8" ht="18" customHeight="1" x14ac:dyDescent="0.35">
      <c r="A35" s="74">
        <v>27</v>
      </c>
      <c r="B35" s="75" t="s">
        <v>101</v>
      </c>
      <c r="C35" s="76" t="s">
        <v>45</v>
      </c>
      <c r="D35" s="76" t="s">
        <v>45</v>
      </c>
      <c r="E35" s="77" t="s">
        <v>238</v>
      </c>
      <c r="F35" s="77" t="s">
        <v>238</v>
      </c>
      <c r="G35" s="77" t="s">
        <v>238</v>
      </c>
      <c r="H35" s="75" t="s">
        <v>102</v>
      </c>
    </row>
    <row r="36" spans="1:8" ht="18" customHeight="1" x14ac:dyDescent="0.35">
      <c r="A36" s="78">
        <v>28</v>
      </c>
      <c r="B36" s="79" t="s">
        <v>103</v>
      </c>
      <c r="C36" s="76" t="s">
        <v>45</v>
      </c>
      <c r="D36" s="77" t="s">
        <v>238</v>
      </c>
      <c r="E36" s="77" t="s">
        <v>238</v>
      </c>
      <c r="F36" s="76" t="s">
        <v>45</v>
      </c>
      <c r="G36" s="77" t="s">
        <v>238</v>
      </c>
      <c r="H36" s="79" t="s">
        <v>104</v>
      </c>
    </row>
    <row r="37" spans="1:8" ht="18" customHeight="1" x14ac:dyDescent="0.35">
      <c r="A37" s="74">
        <v>29</v>
      </c>
      <c r="B37" s="75" t="s">
        <v>105</v>
      </c>
      <c r="C37" s="76" t="s">
        <v>45</v>
      </c>
      <c r="D37" s="77" t="s">
        <v>238</v>
      </c>
      <c r="E37" s="77" t="s">
        <v>238</v>
      </c>
      <c r="F37" s="77" t="s">
        <v>238</v>
      </c>
      <c r="G37" s="77" t="s">
        <v>238</v>
      </c>
      <c r="H37" s="75" t="s">
        <v>106</v>
      </c>
    </row>
    <row r="38" spans="1:8" ht="18" customHeight="1" x14ac:dyDescent="0.35">
      <c r="A38" s="78">
        <v>30</v>
      </c>
      <c r="B38" s="79" t="s">
        <v>107</v>
      </c>
      <c r="C38" s="76" t="s">
        <v>45</v>
      </c>
      <c r="D38" s="77" t="s">
        <v>238</v>
      </c>
      <c r="E38" s="77" t="s">
        <v>238</v>
      </c>
      <c r="F38" s="76" t="s">
        <v>45</v>
      </c>
      <c r="G38" s="77" t="s">
        <v>238</v>
      </c>
      <c r="H38" s="79" t="s">
        <v>108</v>
      </c>
    </row>
    <row r="39" spans="1:8" ht="18" customHeight="1" x14ac:dyDescent="0.35">
      <c r="A39" s="74">
        <v>31</v>
      </c>
      <c r="B39" s="75" t="s">
        <v>109</v>
      </c>
      <c r="C39" s="76" t="s">
        <v>45</v>
      </c>
      <c r="D39" s="76" t="s">
        <v>45</v>
      </c>
      <c r="E39" s="77" t="s">
        <v>238</v>
      </c>
      <c r="F39" s="77" t="s">
        <v>238</v>
      </c>
      <c r="G39" s="77" t="s">
        <v>238</v>
      </c>
      <c r="H39" s="75" t="s">
        <v>110</v>
      </c>
    </row>
    <row r="40" spans="1:8" x14ac:dyDescent="0.35">
      <c r="A40" s="78">
        <v>32</v>
      </c>
      <c r="B40" s="79" t="s">
        <v>111</v>
      </c>
      <c r="C40" s="76" t="s">
        <v>45</v>
      </c>
      <c r="D40" s="76" t="s">
        <v>45</v>
      </c>
      <c r="E40" s="77" t="s">
        <v>238</v>
      </c>
      <c r="F40" s="77" t="s">
        <v>238</v>
      </c>
      <c r="G40" s="77" t="s">
        <v>238</v>
      </c>
      <c r="H40" s="79" t="s">
        <v>112</v>
      </c>
    </row>
    <row r="41" spans="1:8" ht="23" x14ac:dyDescent="0.35">
      <c r="A41" s="74">
        <v>33</v>
      </c>
      <c r="B41" s="75" t="s">
        <v>113</v>
      </c>
      <c r="C41" s="76" t="s">
        <v>45</v>
      </c>
      <c r="D41" s="76" t="s">
        <v>45</v>
      </c>
      <c r="E41" s="77" t="s">
        <v>238</v>
      </c>
      <c r="F41" s="77" t="s">
        <v>238</v>
      </c>
      <c r="G41" s="77" t="s">
        <v>238</v>
      </c>
      <c r="H41" s="75" t="s">
        <v>114</v>
      </c>
    </row>
    <row r="42" spans="1:8" ht="23" x14ac:dyDescent="0.35">
      <c r="A42" s="78">
        <v>34</v>
      </c>
      <c r="B42" s="79" t="s">
        <v>115</v>
      </c>
      <c r="C42" s="76" t="s">
        <v>45</v>
      </c>
      <c r="D42" s="77" t="s">
        <v>238</v>
      </c>
      <c r="E42" s="77" t="s">
        <v>238</v>
      </c>
      <c r="F42" s="77" t="s">
        <v>238</v>
      </c>
      <c r="G42" s="77" t="s">
        <v>238</v>
      </c>
      <c r="H42" s="79" t="s">
        <v>116</v>
      </c>
    </row>
    <row r="44" spans="1:8" ht="25.5" customHeight="1" x14ac:dyDescent="0.35">
      <c r="A44" s="80" t="s">
        <v>117</v>
      </c>
      <c r="B44" s="80">
        <f>COUNTIF(C4:C60,"●")</f>
        <v>30</v>
      </c>
      <c r="C44" s="81">
        <f>COUNTIF(C4:C43,"●")</f>
        <v>30</v>
      </c>
      <c r="D44" s="81">
        <f>COUNTIF(D4:D43,"●")</f>
        <v>16</v>
      </c>
      <c r="E44" s="81">
        <f>COUNTIF(E4:E43,"●")</f>
        <v>14</v>
      </c>
      <c r="F44" s="81">
        <f>COUNTIF(F4:F43,"●")</f>
        <v>11</v>
      </c>
      <c r="G44" s="81">
        <f>COUNTIF(G4:G43,"●")</f>
        <v>5</v>
      </c>
    </row>
  </sheetData>
  <mergeCells count="7">
    <mergeCell ref="A29:H29"/>
    <mergeCell ref="A32:H32"/>
    <mergeCell ref="A1:I1"/>
    <mergeCell ref="A2:I2"/>
    <mergeCell ref="A4:H4"/>
    <mergeCell ref="A18:H18"/>
    <mergeCell ref="A24:H24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4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E4" sqref="E4"/>
    </sheetView>
  </sheetViews>
  <sheetFormatPr baseColWidth="10" defaultColWidth="8.6328125" defaultRowHeight="14.5" x14ac:dyDescent="0.35"/>
  <cols>
    <col min="1" max="1" width="4" customWidth="1"/>
    <col min="2" max="2" width="41.7265625" customWidth="1"/>
    <col min="3" max="3" width="19.453125" customWidth="1"/>
    <col min="4" max="4" width="13" customWidth="1"/>
    <col min="5" max="5" width="15" customWidth="1"/>
    <col min="6" max="6" width="15.7265625" customWidth="1"/>
    <col min="7" max="7" width="17" customWidth="1"/>
    <col min="8" max="8" width="13.36328125" customWidth="1"/>
    <col min="9" max="9" width="28.26953125" customWidth="1"/>
    <col min="10" max="10" width="30" customWidth="1"/>
  </cols>
  <sheetData>
    <row r="1" spans="1:10" ht="27.75" customHeight="1" x14ac:dyDescent="0.35">
      <c r="A1" s="105" t="s">
        <v>118</v>
      </c>
      <c r="B1" s="105"/>
      <c r="C1" s="105"/>
      <c r="D1" s="105"/>
      <c r="E1" s="105"/>
      <c r="F1" s="105"/>
      <c r="G1" s="105"/>
      <c r="H1" s="105"/>
      <c r="I1" s="105"/>
      <c r="J1" s="105"/>
    </row>
    <row r="2" spans="1:10" ht="15.75" customHeight="1" x14ac:dyDescent="0.35">
      <c r="A2" s="106" t="s">
        <v>119</v>
      </c>
      <c r="B2" s="106"/>
      <c r="C2" s="106"/>
      <c r="D2" s="106"/>
      <c r="E2" s="106"/>
      <c r="F2" s="106"/>
      <c r="G2" s="106"/>
      <c r="H2" s="106"/>
      <c r="I2" s="106"/>
      <c r="J2" s="106"/>
    </row>
    <row r="4" spans="1:10" ht="69" x14ac:dyDescent="0.35">
      <c r="A4" s="20" t="s">
        <v>40</v>
      </c>
      <c r="B4" s="20" t="s">
        <v>120</v>
      </c>
      <c r="C4" s="20" t="s">
        <v>256</v>
      </c>
      <c r="D4" s="20" t="s">
        <v>257</v>
      </c>
      <c r="E4" s="20" t="s">
        <v>241</v>
      </c>
      <c r="F4" s="20" t="s">
        <v>242</v>
      </c>
      <c r="G4" s="20" t="s">
        <v>243</v>
      </c>
      <c r="H4" s="20" t="s">
        <v>236</v>
      </c>
      <c r="I4" s="20" t="s">
        <v>121</v>
      </c>
    </row>
    <row r="5" spans="1:10" ht="31.5" customHeight="1" x14ac:dyDescent="0.35">
      <c r="A5" s="5">
        <v>1</v>
      </c>
      <c r="B5" s="22" t="s">
        <v>249</v>
      </c>
      <c r="C5" s="23">
        <v>320</v>
      </c>
      <c r="D5" s="23">
        <v>1.2</v>
      </c>
      <c r="E5" s="23">
        <v>7.5</v>
      </c>
      <c r="F5" s="23">
        <v>4</v>
      </c>
      <c r="G5" s="23">
        <v>3.5</v>
      </c>
      <c r="H5" s="21">
        <v>18</v>
      </c>
      <c r="I5" s="24" t="s">
        <v>122</v>
      </c>
    </row>
    <row r="6" spans="1:10" ht="31.5" customHeight="1" x14ac:dyDescent="0.35">
      <c r="A6" s="4">
        <v>2</v>
      </c>
      <c r="B6" s="22" t="s">
        <v>250</v>
      </c>
      <c r="C6" s="23">
        <v>100</v>
      </c>
      <c r="D6" s="23">
        <v>3.5</v>
      </c>
      <c r="E6" s="23">
        <v>8</v>
      </c>
      <c r="F6" s="23">
        <v>6</v>
      </c>
      <c r="G6" s="23">
        <v>3</v>
      </c>
      <c r="H6" s="21">
        <v>14</v>
      </c>
      <c r="I6" s="25" t="s">
        <v>123</v>
      </c>
    </row>
    <row r="7" spans="1:10" ht="31.5" customHeight="1" x14ac:dyDescent="0.35">
      <c r="A7" s="5">
        <v>3</v>
      </c>
      <c r="B7" s="22" t="s">
        <v>124</v>
      </c>
      <c r="C7" s="23">
        <v>50</v>
      </c>
      <c r="D7" s="23">
        <v>0.5</v>
      </c>
      <c r="E7" s="23">
        <v>7</v>
      </c>
      <c r="F7" s="23">
        <v>5.5</v>
      </c>
      <c r="G7" s="23">
        <v>1.5</v>
      </c>
      <c r="H7" s="21">
        <v>10</v>
      </c>
      <c r="I7" s="24" t="s">
        <v>125</v>
      </c>
    </row>
    <row r="8" spans="1:10" ht="31.5" customHeight="1" x14ac:dyDescent="0.35">
      <c r="A8" s="4">
        <v>4</v>
      </c>
      <c r="B8" s="22" t="s">
        <v>251</v>
      </c>
      <c r="C8" s="23">
        <v>180</v>
      </c>
      <c r="D8" s="23">
        <v>1.8</v>
      </c>
      <c r="E8" s="23">
        <v>7</v>
      </c>
      <c r="F8" s="23">
        <v>5.5</v>
      </c>
      <c r="G8" s="23">
        <v>2</v>
      </c>
      <c r="H8" s="21">
        <v>8</v>
      </c>
      <c r="I8" s="25" t="s">
        <v>127</v>
      </c>
    </row>
    <row r="9" spans="1:10" ht="31.5" customHeight="1" x14ac:dyDescent="0.35">
      <c r="A9" s="5">
        <v>5</v>
      </c>
      <c r="B9" s="22" t="s">
        <v>252</v>
      </c>
      <c r="C9" s="23">
        <v>280</v>
      </c>
      <c r="D9" s="23">
        <v>1</v>
      </c>
      <c r="E9" s="23">
        <v>6.5</v>
      </c>
      <c r="F9" s="23">
        <v>3.5</v>
      </c>
      <c r="G9" s="23">
        <v>2.5</v>
      </c>
      <c r="H9" s="21">
        <v>9</v>
      </c>
      <c r="I9" s="24" t="s">
        <v>128</v>
      </c>
    </row>
    <row r="10" spans="1:10" ht="31.5" customHeight="1" x14ac:dyDescent="0.35">
      <c r="A10" s="4">
        <v>6</v>
      </c>
      <c r="B10" s="22" t="s">
        <v>253</v>
      </c>
      <c r="C10" s="23">
        <v>40</v>
      </c>
      <c r="D10" s="23">
        <v>0.8</v>
      </c>
      <c r="E10" s="23">
        <v>5.5</v>
      </c>
      <c r="F10" s="23">
        <v>7.5</v>
      </c>
      <c r="G10" s="23">
        <v>1.5</v>
      </c>
      <c r="H10" s="21">
        <v>6</v>
      </c>
      <c r="I10" s="25" t="s">
        <v>129</v>
      </c>
    </row>
    <row r="11" spans="1:10" ht="31.5" customHeight="1" x14ac:dyDescent="0.35">
      <c r="A11" s="5">
        <v>7</v>
      </c>
      <c r="B11" s="22" t="s">
        <v>254</v>
      </c>
      <c r="C11" s="23">
        <v>210</v>
      </c>
      <c r="D11" s="23">
        <v>0.6</v>
      </c>
      <c r="E11" s="23">
        <v>7</v>
      </c>
      <c r="F11" s="23">
        <v>3</v>
      </c>
      <c r="G11" s="23">
        <v>2.5</v>
      </c>
      <c r="H11" s="21">
        <v>7</v>
      </c>
      <c r="I11" s="24" t="s">
        <v>130</v>
      </c>
    </row>
    <row r="12" spans="1:10" ht="31.5" customHeight="1" x14ac:dyDescent="0.35">
      <c r="A12" s="70">
        <v>8</v>
      </c>
      <c r="B12" s="82" t="s">
        <v>255</v>
      </c>
      <c r="C12" s="83">
        <v>240</v>
      </c>
      <c r="D12" s="83">
        <v>2.5</v>
      </c>
      <c r="E12" s="83">
        <v>6</v>
      </c>
      <c r="F12" s="83">
        <v>3.5</v>
      </c>
      <c r="G12" s="83">
        <v>4.5</v>
      </c>
      <c r="H12" s="84">
        <v>7</v>
      </c>
      <c r="I12" s="85" t="s">
        <v>131</v>
      </c>
    </row>
    <row r="13" spans="1:10" ht="15" customHeight="1" x14ac:dyDescent="0.35">
      <c r="A13" s="121"/>
      <c r="B13" s="121"/>
      <c r="C13" s="86"/>
      <c r="D13" s="86"/>
      <c r="E13" s="86"/>
      <c r="F13" s="86"/>
      <c r="G13" s="86"/>
      <c r="H13" s="86"/>
      <c r="I13" s="86"/>
      <c r="J13" s="86"/>
    </row>
    <row r="14" spans="1:10" ht="15" customHeight="1" x14ac:dyDescent="0.35">
      <c r="A14" s="122"/>
      <c r="B14" s="122"/>
      <c r="C14" s="122"/>
      <c r="D14" s="122"/>
      <c r="E14" s="122"/>
      <c r="F14" s="122"/>
      <c r="G14" s="122"/>
      <c r="H14" s="122"/>
      <c r="I14" s="122"/>
      <c r="J14" s="122"/>
    </row>
  </sheetData>
  <mergeCells count="4">
    <mergeCell ref="A1:J1"/>
    <mergeCell ref="A2:J2"/>
    <mergeCell ref="A13:B13"/>
    <mergeCell ref="A14:J14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2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5" sqref="A5"/>
      <selection pane="bottomRight" activeCell="A2" sqref="A2:XFD2"/>
    </sheetView>
  </sheetViews>
  <sheetFormatPr baseColWidth="10" defaultColWidth="8.6328125" defaultRowHeight="14.5" x14ac:dyDescent="0.35"/>
  <cols>
    <col min="1" max="1" width="4" customWidth="1"/>
    <col min="2" max="2" width="28" customWidth="1"/>
    <col min="3" max="3" width="10.08984375" bestFit="1" customWidth="1"/>
    <col min="4" max="4" width="13.453125" customWidth="1"/>
    <col min="5" max="5" width="20" customWidth="1"/>
    <col min="6" max="6" width="12" customWidth="1"/>
  </cols>
  <sheetData>
    <row r="1" spans="1:6" ht="27.75" customHeight="1" x14ac:dyDescent="0.35">
      <c r="A1" s="105" t="s">
        <v>132</v>
      </c>
      <c r="B1" s="105"/>
      <c r="C1" s="105"/>
      <c r="D1" s="105"/>
      <c r="E1" s="105"/>
      <c r="F1" s="105"/>
    </row>
    <row r="3" spans="1:6" ht="34" customHeight="1" x14ac:dyDescent="0.35">
      <c r="A3" s="6" t="s">
        <v>40</v>
      </c>
      <c r="B3" s="6" t="s">
        <v>120</v>
      </c>
      <c r="C3" s="6" t="s">
        <v>236</v>
      </c>
      <c r="D3" s="87" t="s">
        <v>239</v>
      </c>
      <c r="E3" s="6" t="s">
        <v>12</v>
      </c>
    </row>
    <row r="4" spans="1:6" ht="46" x14ac:dyDescent="0.35">
      <c r="A4" s="5">
        <v>1</v>
      </c>
      <c r="B4" s="22" t="str">
        <f>'7. Matriz Datos Entrada'!B5</f>
        <v>Concreto con Agregados de Concreto Reciclado (Residuos de Construcción y Demolición – RCD)</v>
      </c>
      <c r="C4" s="26">
        <f>'7. Matriz Datos Entrada'!H5</f>
        <v>18</v>
      </c>
      <c r="D4" s="88">
        <f>C4/34</f>
        <v>0.52941176470588236</v>
      </c>
      <c r="E4" s="9">
        <f>D4/SUM(D4:D11)</f>
        <v>0.22784810126582278</v>
      </c>
    </row>
    <row r="5" spans="1:6" ht="34.5" x14ac:dyDescent="0.35">
      <c r="A5" s="4">
        <v>2</v>
      </c>
      <c r="B5" s="22" t="str">
        <f>'7. Matriz Datos Entrada'!B6</f>
        <v>Geopolímeros Activados Alcalinamente (base escoria de alto horno y/o ceniza volante)</v>
      </c>
      <c r="C5" s="27">
        <f>'7. Matriz Datos Entrada'!H6</f>
        <v>14</v>
      </c>
      <c r="D5" s="88">
        <f t="shared" ref="D5:D11" si="0">C5/34</f>
        <v>0.41176470588235292</v>
      </c>
      <c r="E5" s="9">
        <f>D5/SUM(D4:D11)</f>
        <v>0.17721518987341769</v>
      </c>
    </row>
    <row r="6" spans="1:6" x14ac:dyDescent="0.35">
      <c r="A6" s="5">
        <v>3</v>
      </c>
      <c r="B6" s="22" t="str">
        <f>'7. Matriz Datos Entrada'!B7</f>
        <v>Bambú Estructural</v>
      </c>
      <c r="C6" s="26">
        <f>'7. Matriz Datos Entrada'!H7</f>
        <v>10</v>
      </c>
      <c r="D6" s="88">
        <f t="shared" si="0"/>
        <v>0.29411764705882354</v>
      </c>
      <c r="E6" s="9">
        <f>D6/SUM(D4:D11)</f>
        <v>0.12658227848101264</v>
      </c>
    </row>
    <row r="7" spans="1:6" ht="34.5" x14ac:dyDescent="0.35">
      <c r="A7" s="4">
        <v>4</v>
      </c>
      <c r="B7" s="22" t="str">
        <f>'7. Matriz Datos Entrada'!B8</f>
        <v>Concreto con Biochar (carbón vegetal pirolizado como sustituto parcial de cemento)</v>
      </c>
      <c r="C7" s="27">
        <f>'7. Matriz Datos Entrada'!H8</f>
        <v>8</v>
      </c>
      <c r="D7" s="88">
        <f t="shared" si="0"/>
        <v>0.23529411764705882</v>
      </c>
      <c r="E7" s="9">
        <f>D7/SUM(D4:D11)</f>
        <v>0.10126582278481011</v>
      </c>
    </row>
    <row r="8" spans="1:6" ht="34.5" x14ac:dyDescent="0.35">
      <c r="A8" s="5">
        <v>5</v>
      </c>
      <c r="B8" s="22" t="str">
        <f>'7. Matriz Datos Entrada'!B9</f>
        <v>Vidrio Reciclado Triturado como Sustituto de Árido Fino en Concreto y Morteros</v>
      </c>
      <c r="C8" s="26">
        <f>'7. Matriz Datos Entrada'!H9</f>
        <v>9</v>
      </c>
      <c r="D8" s="88">
        <f t="shared" si="0"/>
        <v>0.26470588235294118</v>
      </c>
      <c r="E8" s="9">
        <f>D8/SUM(D4:D11)</f>
        <v>0.11392405063291139</v>
      </c>
    </row>
    <row r="9" spans="1:6" ht="34.5" x14ac:dyDescent="0.35">
      <c r="A9" s="4">
        <v>6</v>
      </c>
      <c r="B9" s="22" t="str">
        <f>'7. Matriz Datos Entrada'!B10</f>
        <v>Hempcrete: Biocompuesto de Cáñamo Industrial y Cal Hidráulica</v>
      </c>
      <c r="C9" s="27">
        <f>'7. Matriz Datos Entrada'!H10</f>
        <v>6</v>
      </c>
      <c r="D9" s="88">
        <f t="shared" si="0"/>
        <v>0.17647058823529413</v>
      </c>
      <c r="E9" s="9">
        <f>D9/SUM(D4:D11)</f>
        <v>7.5949367088607597E-2</v>
      </c>
    </row>
    <row r="10" spans="1:6" ht="23" x14ac:dyDescent="0.35">
      <c r="A10" s="5">
        <v>7</v>
      </c>
      <c r="B10" s="22" t="str">
        <f>'7. Matriz Datos Entrada'!B11</f>
        <v>Ceniza de Cáscara de Arroz (Rice Husk Ash - RHA)</v>
      </c>
      <c r="C10" s="26">
        <f>'7. Matriz Datos Entrada'!H11</f>
        <v>7</v>
      </c>
      <c r="D10" s="88">
        <f t="shared" si="0"/>
        <v>0.20588235294117646</v>
      </c>
      <c r="E10" s="9">
        <f>D10/SUM(D4:D11)</f>
        <v>8.8607594936708847E-2</v>
      </c>
    </row>
    <row r="11" spans="1:6" ht="23" x14ac:dyDescent="0.35">
      <c r="A11" s="4">
        <v>8</v>
      </c>
      <c r="B11" s="22" t="str">
        <f>'7. Matriz Datos Entrada'!B12</f>
        <v>Fibras de Refuerzo de Plástico Reciclado</v>
      </c>
      <c r="C11" s="27">
        <f>'7. Matriz Datos Entrada'!H12</f>
        <v>7</v>
      </c>
      <c r="D11" s="88">
        <f t="shared" si="0"/>
        <v>0.20588235294117646</v>
      </c>
      <c r="E11" s="9">
        <f>D11/SUM(D4:D11)</f>
        <v>8.8607594936708847E-2</v>
      </c>
    </row>
    <row r="12" spans="1:6" x14ac:dyDescent="0.35">
      <c r="B12" s="6" t="s">
        <v>9</v>
      </c>
      <c r="E12" s="10">
        <f>SUM(E4:E11)</f>
        <v>1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3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5" sqref="A5"/>
      <selection pane="bottomRight" activeCell="A2" sqref="A2:XFD2"/>
    </sheetView>
  </sheetViews>
  <sheetFormatPr baseColWidth="10" defaultColWidth="8.6328125" defaultRowHeight="14.5" x14ac:dyDescent="0.35"/>
  <cols>
    <col min="1" max="1" width="4" customWidth="1"/>
    <col min="2" max="2" width="28" customWidth="1"/>
    <col min="3" max="4" width="8" customWidth="1"/>
    <col min="5" max="5" width="10.54296875" customWidth="1"/>
    <col min="6" max="9" width="13" customWidth="1"/>
    <col min="10" max="10" width="10" customWidth="1"/>
  </cols>
  <sheetData>
    <row r="1" spans="1:10" ht="27.75" customHeight="1" x14ac:dyDescent="0.35">
      <c r="A1" s="105" t="s">
        <v>133</v>
      </c>
      <c r="B1" s="105"/>
      <c r="C1" s="105"/>
      <c r="D1" s="105"/>
      <c r="E1" s="105"/>
      <c r="F1" s="105"/>
      <c r="G1" s="105"/>
      <c r="H1" s="105"/>
      <c r="I1" s="105"/>
    </row>
    <row r="3" spans="1:10" ht="27.75" customHeight="1" x14ac:dyDescent="0.35">
      <c r="A3" s="6" t="s">
        <v>40</v>
      </c>
      <c r="B3" s="6" t="s">
        <v>120</v>
      </c>
      <c r="C3" s="6" t="s">
        <v>134</v>
      </c>
      <c r="D3" s="6" t="s">
        <v>135</v>
      </c>
      <c r="E3" s="6" t="s">
        <v>136</v>
      </c>
      <c r="F3" s="6" t="s">
        <v>137</v>
      </c>
      <c r="G3" s="6" t="s">
        <v>19</v>
      </c>
      <c r="H3" s="6" t="s">
        <v>20</v>
      </c>
    </row>
    <row r="4" spans="1:10" ht="46" x14ac:dyDescent="0.35">
      <c r="A4" s="5">
        <v>1</v>
      </c>
      <c r="B4" s="22" t="str">
        <f>'7. Matriz Datos Entrada'!B5</f>
        <v>Concreto con Agregados de Concreto Reciclado (Residuos de Construcción y Demolición – RCD)</v>
      </c>
      <c r="C4" s="13">
        <f>'7. Matriz Datos Entrada'!H5/34</f>
        <v>0.52941176470588236</v>
      </c>
      <c r="D4" s="13">
        <f>(34-'7. Matriz Datos Entrada'!H5)/34</f>
        <v>0.47058823529411764</v>
      </c>
      <c r="E4" s="13">
        <f t="shared" ref="E4:F11" si="0">IF(C4&gt;0,-C4*LN(C4),0)</f>
        <v>0.33669993532235121</v>
      </c>
      <c r="F4" s="13">
        <f t="shared" si="0"/>
        <v>0.35471614229476717</v>
      </c>
      <c r="G4" s="12">
        <f>E4+F4</f>
        <v>0.69141607761711832</v>
      </c>
      <c r="H4" s="9">
        <f>(LN(34)-G4)/(8*LN(34)-SUM(G4:G11))</f>
        <v>0.11997347055652022</v>
      </c>
    </row>
    <row r="5" spans="1:10" ht="34.5" x14ac:dyDescent="0.35">
      <c r="A5" s="4">
        <v>2</v>
      </c>
      <c r="B5" s="22" t="str">
        <f>'7. Matriz Datos Entrada'!B6</f>
        <v>Geopolímeros Activados Alcalinamente (base escoria de alto horno y/o ceniza volante)</v>
      </c>
      <c r="C5" s="11">
        <f>'7. Matriz Datos Entrada'!H6/34</f>
        <v>0.41176470588235292</v>
      </c>
      <c r="D5" s="13">
        <f>(34-'7. Matriz Datos Entrada'!H6)/34</f>
        <v>0.58823529411764708</v>
      </c>
      <c r="E5" s="11">
        <f t="shared" si="0"/>
        <v>0.36536013911801879</v>
      </c>
      <c r="F5" s="11">
        <f t="shared" si="0"/>
        <v>0.31213426533068844</v>
      </c>
      <c r="G5" s="12">
        <f t="shared" ref="G5:G11" si="1">E5+F5</f>
        <v>0.67749440444870723</v>
      </c>
      <c r="H5" s="9">
        <f>(LN(34)-G5)/(8*LN(34)-SUM(G4:G11))</f>
        <v>0.12056262899584552</v>
      </c>
    </row>
    <row r="6" spans="1:10" x14ac:dyDescent="0.35">
      <c r="A6" s="5">
        <v>3</v>
      </c>
      <c r="B6" s="22" t="str">
        <f>'7. Matriz Datos Entrada'!B7</f>
        <v>Bambú Estructural</v>
      </c>
      <c r="C6" s="13">
        <f>'7. Matriz Datos Entrada'!H7/34</f>
        <v>0.29411764705882354</v>
      </c>
      <c r="D6" s="13">
        <f>(34-'7. Matriz Datos Entrada'!H7)/34</f>
        <v>0.70588235294117652</v>
      </c>
      <c r="E6" s="13">
        <f t="shared" si="0"/>
        <v>0.35993395047709287</v>
      </c>
      <c r="F6" s="13">
        <f t="shared" si="0"/>
        <v>0.24586354889521109</v>
      </c>
      <c r="G6" s="12">
        <f t="shared" si="1"/>
        <v>0.60579749937230398</v>
      </c>
      <c r="H6" s="9">
        <f>(LN(34)-G6)/(8*LN(34)-SUM(G4:G11))</f>
        <v>0.12359680715735515</v>
      </c>
    </row>
    <row r="7" spans="1:10" ht="34.5" x14ac:dyDescent="0.35">
      <c r="A7" s="4">
        <v>4</v>
      </c>
      <c r="B7" s="22" t="str">
        <f>'7. Matriz Datos Entrada'!B8</f>
        <v>Concreto con Biochar (carbón vegetal pirolizado como sustituto parcial de cemento)</v>
      </c>
      <c r="C7" s="11">
        <f>'7. Matriz Datos Entrada'!H8/34</f>
        <v>0.23529411764705882</v>
      </c>
      <c r="D7" s="13">
        <f>(34-'7. Matriz Datos Entrada'!H8)/34</f>
        <v>0.76470588235294112</v>
      </c>
      <c r="E7" s="11">
        <f t="shared" si="0"/>
        <v>0.34045152539678242</v>
      </c>
      <c r="F7" s="11">
        <f t="shared" si="0"/>
        <v>0.2051430485724019</v>
      </c>
      <c r="G7" s="12">
        <f t="shared" si="1"/>
        <v>0.54559457396918432</v>
      </c>
      <c r="H7" s="9">
        <f>(LN(34)-G7)/(8*LN(34)-SUM(G4:G11))</f>
        <v>0.12614456568783119</v>
      </c>
    </row>
    <row r="8" spans="1:10" ht="34.5" x14ac:dyDescent="0.35">
      <c r="A8" s="5">
        <v>5</v>
      </c>
      <c r="B8" s="22" t="str">
        <f>'7. Matriz Datos Entrada'!B9</f>
        <v>Vidrio Reciclado Triturado como Sustituto de Árido Fino en Concreto y Morteros</v>
      </c>
      <c r="C8" s="13">
        <f>'7. Matriz Datos Entrada'!H9/34</f>
        <v>0.26470588235294118</v>
      </c>
      <c r="D8" s="13">
        <f>(34-'7. Matriz Datos Entrada'!H9)/34</f>
        <v>0.73529411764705888</v>
      </c>
      <c r="E8" s="13">
        <f t="shared" si="0"/>
        <v>0.35183010369174933</v>
      </c>
      <c r="F8" s="13">
        <f t="shared" si="0"/>
        <v>0.22609169099114748</v>
      </c>
      <c r="G8" s="12">
        <f t="shared" si="1"/>
        <v>0.57792179468289684</v>
      </c>
      <c r="H8" s="9">
        <f>(LN(34)-G8)/(8*LN(34)-SUM(G4:G11))</f>
        <v>0.12477649342575348</v>
      </c>
    </row>
    <row r="9" spans="1:10" ht="34.5" x14ac:dyDescent="0.35">
      <c r="A9" s="4">
        <v>6</v>
      </c>
      <c r="B9" s="22" t="str">
        <f>'7. Matriz Datos Entrada'!B10</f>
        <v>Hempcrete: Biocompuesto de Cáñamo Industrial y Cal Hidráulica</v>
      </c>
      <c r="C9" s="11">
        <f>'7. Matriz Datos Entrada'!H10/34</f>
        <v>0.17647058823529413</v>
      </c>
      <c r="D9" s="13">
        <f>(34-'7. Matriz Datos Entrada'!H10)/34</f>
        <v>0.82352941176470584</v>
      </c>
      <c r="E9" s="11">
        <f t="shared" si="0"/>
        <v>0.30610606859790113</v>
      </c>
      <c r="F9" s="11">
        <f t="shared" si="0"/>
        <v>0.15989318836314148</v>
      </c>
      <c r="G9" s="12">
        <f t="shared" si="1"/>
        <v>0.46599925696104261</v>
      </c>
      <c r="H9" s="9">
        <f>(LN(34)-G9)/(8*LN(34)-SUM(G4:G11))</f>
        <v>0.12951300080183201</v>
      </c>
    </row>
    <row r="10" spans="1:10" ht="23" x14ac:dyDescent="0.35">
      <c r="A10" s="5">
        <v>7</v>
      </c>
      <c r="B10" s="22" t="str">
        <f>'7. Matriz Datos Entrada'!B11</f>
        <v>Ceniza de Cáscara de Arroz (Rice Husk Ash - RHA)</v>
      </c>
      <c r="C10" s="13">
        <f>'7. Matriz Datos Entrada'!H11/34</f>
        <v>0.20588235294117646</v>
      </c>
      <c r="D10" s="13">
        <f>(34-'7. Matriz Datos Entrada'!H11)/34</f>
        <v>0.79411764705882348</v>
      </c>
      <c r="E10" s="13">
        <f t="shared" si="0"/>
        <v>0.32538684202723339</v>
      </c>
      <c r="F10" s="13">
        <f t="shared" si="0"/>
        <v>0.18306290536821981</v>
      </c>
      <c r="G10" s="12">
        <f t="shared" si="1"/>
        <v>0.50844974739545323</v>
      </c>
      <c r="H10" s="9">
        <f>(LN(34)-G10)/(8*LN(34)-SUM(G4:G11))</f>
        <v>0.1277165166874312</v>
      </c>
    </row>
    <row r="11" spans="1:10" ht="23" x14ac:dyDescent="0.35">
      <c r="A11" s="4">
        <v>8</v>
      </c>
      <c r="B11" s="22" t="str">
        <f>'7. Matriz Datos Entrada'!B12</f>
        <v>Fibras de Refuerzo de Plástico Reciclado</v>
      </c>
      <c r="C11" s="11">
        <f>'7. Matriz Datos Entrada'!H12/34</f>
        <v>0.20588235294117646</v>
      </c>
      <c r="D11" s="13">
        <f>(34-'7. Matriz Datos Entrada'!H12)/34</f>
        <v>0.79411764705882348</v>
      </c>
      <c r="E11" s="11">
        <f t="shared" si="0"/>
        <v>0.32538684202723339</v>
      </c>
      <c r="F11" s="11">
        <f t="shared" si="0"/>
        <v>0.18306290536821981</v>
      </c>
      <c r="G11" s="12">
        <f t="shared" si="1"/>
        <v>0.50844974739545323</v>
      </c>
      <c r="H11" s="9">
        <f>(LN(34)-G11)/(8*LN(34)-SUM(G4:G11))</f>
        <v>0.1277165166874312</v>
      </c>
    </row>
    <row r="12" spans="1:10" x14ac:dyDescent="0.35">
      <c r="B12" s="67" t="s">
        <v>9</v>
      </c>
      <c r="H12" s="68">
        <f>SUM(H4:H11)</f>
        <v>1</v>
      </c>
    </row>
    <row r="13" spans="1:10" ht="15" customHeight="1" x14ac:dyDescent="0.35">
      <c r="A13" s="123"/>
      <c r="B13" s="123"/>
      <c r="C13" s="123"/>
      <c r="D13" s="123"/>
      <c r="E13" s="123"/>
      <c r="F13" s="123"/>
      <c r="G13" s="123"/>
      <c r="H13" s="123"/>
      <c r="I13" s="123"/>
      <c r="J13" s="123"/>
    </row>
  </sheetData>
  <mergeCells count="2">
    <mergeCell ref="A1:I1"/>
    <mergeCell ref="A13:J13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2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5" sqref="A5"/>
      <selection pane="bottomRight" activeCell="A2" sqref="A2:XFD2"/>
    </sheetView>
  </sheetViews>
  <sheetFormatPr baseColWidth="10" defaultColWidth="8.6328125" defaultRowHeight="14.5" x14ac:dyDescent="0.35"/>
  <cols>
    <col min="1" max="1" width="4" customWidth="1"/>
    <col min="2" max="2" width="24.08984375" customWidth="1"/>
    <col min="3" max="3" width="16.54296875" customWidth="1"/>
    <col min="4" max="4" width="14.453125" customWidth="1"/>
    <col min="5" max="5" width="13.453125" customWidth="1"/>
    <col min="6" max="7" width="10" customWidth="1"/>
    <col min="8" max="8" width="15.1796875" customWidth="1"/>
    <col min="9" max="9" width="10" customWidth="1"/>
    <col min="10" max="10" width="11.7265625" customWidth="1"/>
    <col min="11" max="11" width="12" customWidth="1"/>
    <col min="12" max="12" width="10" customWidth="1"/>
  </cols>
  <sheetData>
    <row r="1" spans="1:12" ht="27.75" customHeight="1" x14ac:dyDescent="0.35">
      <c r="A1" s="105" t="s">
        <v>138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</row>
    <row r="3" spans="1:12" ht="42" x14ac:dyDescent="0.35">
      <c r="A3" s="6" t="s">
        <v>40</v>
      </c>
      <c r="B3" s="6" t="s">
        <v>120</v>
      </c>
      <c r="C3" s="28" t="s">
        <v>258</v>
      </c>
      <c r="D3" s="28" t="s">
        <v>259</v>
      </c>
      <c r="E3" s="28" t="s">
        <v>260</v>
      </c>
      <c r="F3" s="28" t="s">
        <v>126</v>
      </c>
      <c r="G3" s="28" t="s">
        <v>261</v>
      </c>
      <c r="H3" s="28" t="s">
        <v>253</v>
      </c>
      <c r="I3" s="28" t="s">
        <v>262</v>
      </c>
      <c r="J3" s="28" t="s">
        <v>255</v>
      </c>
      <c r="K3" s="2" t="s">
        <v>28</v>
      </c>
      <c r="L3" s="2" t="s">
        <v>29</v>
      </c>
    </row>
    <row r="4" spans="1:12" ht="23" x14ac:dyDescent="0.35">
      <c r="A4" s="5">
        <v>1</v>
      </c>
      <c r="B4" s="22" t="s">
        <v>258</v>
      </c>
      <c r="C4" s="29">
        <f>'8.M1 Frecuencia Ponderada'!D4/'8.M1 Frecuencia Ponderada'!D4</f>
        <v>1</v>
      </c>
      <c r="D4" s="29">
        <f>'8.M1 Frecuencia Ponderada'!D4/'8.M1 Frecuencia Ponderada'!D5</f>
        <v>1.2857142857142858</v>
      </c>
      <c r="E4" s="29">
        <f>'8.M1 Frecuencia Ponderada'!D4/'8.M1 Frecuencia Ponderada'!D6</f>
        <v>1.8</v>
      </c>
      <c r="F4" s="29">
        <f>'8.M1 Frecuencia Ponderada'!D4/'8.M1 Frecuencia Ponderada'!D7</f>
        <v>2.25</v>
      </c>
      <c r="G4" s="29">
        <f>'8.M1 Frecuencia Ponderada'!D4/'8.M1 Frecuencia Ponderada'!D8</f>
        <v>2</v>
      </c>
      <c r="H4" s="29">
        <f>'8.M1 Frecuencia Ponderada'!D4/'8.M1 Frecuencia Ponderada'!D9</f>
        <v>3</v>
      </c>
      <c r="I4" s="29">
        <f>'8.M1 Frecuencia Ponderada'!D4/'8.M1 Frecuencia Ponderada'!D10</f>
        <v>2.5714285714285716</v>
      </c>
      <c r="J4" s="29">
        <f>'8.M1 Frecuencia Ponderada'!D4/'8.M1 Frecuencia Ponderada'!D11</f>
        <v>2.5714285714285716</v>
      </c>
      <c r="K4" s="12">
        <f t="shared" ref="K4:K11" si="0">SUM(C4:J4)</f>
        <v>16.478571428571428</v>
      </c>
      <c r="L4" s="9">
        <f>K4/SUM(K4:K11)</f>
        <v>0.22784810126582278</v>
      </c>
    </row>
    <row r="5" spans="1:12" ht="23" x14ac:dyDescent="0.35">
      <c r="A5" s="4">
        <v>2</v>
      </c>
      <c r="B5" s="22" t="s">
        <v>259</v>
      </c>
      <c r="C5" s="30">
        <f>'8.M1 Frecuencia Ponderada'!D5/'8.M1 Frecuencia Ponderada'!D4</f>
        <v>0.77777777777777768</v>
      </c>
      <c r="D5" s="30">
        <f>'8.M1 Frecuencia Ponderada'!D5/'8.M1 Frecuencia Ponderada'!D5</f>
        <v>1</v>
      </c>
      <c r="E5" s="30">
        <f>'8.M1 Frecuencia Ponderada'!D5/'8.M1 Frecuencia Ponderada'!D6</f>
        <v>1.4</v>
      </c>
      <c r="F5" s="30">
        <f>'8.M1 Frecuencia Ponderada'!D5/'8.M1 Frecuencia Ponderada'!D7</f>
        <v>1.75</v>
      </c>
      <c r="G5" s="30">
        <f>'8.M1 Frecuencia Ponderada'!D5/'8.M1 Frecuencia Ponderada'!D8</f>
        <v>1.5555555555555554</v>
      </c>
      <c r="H5" s="30">
        <f>'8.M1 Frecuencia Ponderada'!D5/'8.M1 Frecuencia Ponderada'!D9</f>
        <v>2.333333333333333</v>
      </c>
      <c r="I5" s="30">
        <f>'8.M1 Frecuencia Ponderada'!D5/'8.M1 Frecuencia Ponderada'!D10</f>
        <v>2</v>
      </c>
      <c r="J5" s="30">
        <f>'8.M1 Frecuencia Ponderada'!D5/'8.M1 Frecuencia Ponderada'!D11</f>
        <v>2</v>
      </c>
      <c r="K5" s="12">
        <f t="shared" si="0"/>
        <v>12.816666666666666</v>
      </c>
      <c r="L5" s="9">
        <f>K5/SUM(K4:K11)</f>
        <v>0.17721518987341772</v>
      </c>
    </row>
    <row r="6" spans="1:12" x14ac:dyDescent="0.35">
      <c r="A6" s="5">
        <v>3</v>
      </c>
      <c r="B6" s="22" t="s">
        <v>260</v>
      </c>
      <c r="C6" s="29">
        <f>'8.M1 Frecuencia Ponderada'!D6/'8.M1 Frecuencia Ponderada'!D4</f>
        <v>0.55555555555555558</v>
      </c>
      <c r="D6" s="29">
        <f>'8.M1 Frecuencia Ponderada'!D6/'8.M1 Frecuencia Ponderada'!D5</f>
        <v>0.7142857142857143</v>
      </c>
      <c r="E6" s="29">
        <f>'8.M1 Frecuencia Ponderada'!D6/'8.M1 Frecuencia Ponderada'!D6</f>
        <v>1</v>
      </c>
      <c r="F6" s="29">
        <f>'8.M1 Frecuencia Ponderada'!D6/'8.M1 Frecuencia Ponderada'!D7</f>
        <v>1.25</v>
      </c>
      <c r="G6" s="29">
        <f>'8.M1 Frecuencia Ponderada'!D6/'8.M1 Frecuencia Ponderada'!D8</f>
        <v>1.1111111111111112</v>
      </c>
      <c r="H6" s="29">
        <f>'8.M1 Frecuencia Ponderada'!D6/'8.M1 Frecuencia Ponderada'!D9</f>
        <v>1.6666666666666665</v>
      </c>
      <c r="I6" s="29">
        <f>'8.M1 Frecuencia Ponderada'!D6/'8.M1 Frecuencia Ponderada'!D10</f>
        <v>1.4285714285714286</v>
      </c>
      <c r="J6" s="29">
        <f>'8.M1 Frecuencia Ponderada'!D6/'8.M1 Frecuencia Ponderada'!D11</f>
        <v>1.4285714285714286</v>
      </c>
      <c r="K6" s="12">
        <f t="shared" si="0"/>
        <v>9.1547619047619051</v>
      </c>
      <c r="L6" s="9">
        <f>K6/SUM(K4:K11)</f>
        <v>0.12658227848101267</v>
      </c>
    </row>
    <row r="7" spans="1:12" x14ac:dyDescent="0.35">
      <c r="A7" s="4">
        <v>4</v>
      </c>
      <c r="B7" s="22" t="s">
        <v>126</v>
      </c>
      <c r="C7" s="30">
        <f>'8.M1 Frecuencia Ponderada'!D7/'8.M1 Frecuencia Ponderada'!D4</f>
        <v>0.44444444444444442</v>
      </c>
      <c r="D7" s="30">
        <f>'8.M1 Frecuencia Ponderada'!D7/'8.M1 Frecuencia Ponderada'!D5</f>
        <v>0.5714285714285714</v>
      </c>
      <c r="E7" s="30">
        <f>'8.M1 Frecuencia Ponderada'!D7/'8.M1 Frecuencia Ponderada'!D6</f>
        <v>0.79999999999999993</v>
      </c>
      <c r="F7" s="30">
        <f>'8.M1 Frecuencia Ponderada'!D7/'8.M1 Frecuencia Ponderada'!D7</f>
        <v>1</v>
      </c>
      <c r="G7" s="30">
        <f>'8.M1 Frecuencia Ponderada'!D7/'8.M1 Frecuencia Ponderada'!D8</f>
        <v>0.88888888888888884</v>
      </c>
      <c r="H7" s="30">
        <f>'8.M1 Frecuencia Ponderada'!D7/'8.M1 Frecuencia Ponderada'!D9</f>
        <v>1.3333333333333333</v>
      </c>
      <c r="I7" s="30">
        <f>'8.M1 Frecuencia Ponderada'!D7/'8.M1 Frecuencia Ponderada'!D10</f>
        <v>1.1428571428571428</v>
      </c>
      <c r="J7" s="30">
        <f>'8.M1 Frecuencia Ponderada'!D7/'8.M1 Frecuencia Ponderada'!D11</f>
        <v>1.1428571428571428</v>
      </c>
      <c r="K7" s="12">
        <f t="shared" si="0"/>
        <v>7.3238095238095227</v>
      </c>
      <c r="L7" s="9">
        <f>K7/SUM(K4:K11)</f>
        <v>0.10126582278481011</v>
      </c>
    </row>
    <row r="8" spans="1:12" x14ac:dyDescent="0.35">
      <c r="A8" s="5">
        <v>5</v>
      </c>
      <c r="B8" s="22" t="s">
        <v>261</v>
      </c>
      <c r="C8" s="29">
        <f>'8.M1 Frecuencia Ponderada'!D8/'8.M1 Frecuencia Ponderada'!D4</f>
        <v>0.5</v>
      </c>
      <c r="D8" s="29">
        <f>'8.M1 Frecuencia Ponderada'!D8/'8.M1 Frecuencia Ponderada'!D5</f>
        <v>0.6428571428571429</v>
      </c>
      <c r="E8" s="29">
        <f>'8.M1 Frecuencia Ponderada'!D8/'8.M1 Frecuencia Ponderada'!D6</f>
        <v>0.9</v>
      </c>
      <c r="F8" s="29">
        <f>'8.M1 Frecuencia Ponderada'!D8/'8.M1 Frecuencia Ponderada'!D7</f>
        <v>1.125</v>
      </c>
      <c r="G8" s="29">
        <f>'8.M1 Frecuencia Ponderada'!D8/'8.M1 Frecuencia Ponderada'!D8</f>
        <v>1</v>
      </c>
      <c r="H8" s="29">
        <f>'8.M1 Frecuencia Ponderada'!D8/'8.M1 Frecuencia Ponderada'!D9</f>
        <v>1.5</v>
      </c>
      <c r="I8" s="29">
        <f>'8.M1 Frecuencia Ponderada'!D8/'8.M1 Frecuencia Ponderada'!D10</f>
        <v>1.2857142857142858</v>
      </c>
      <c r="J8" s="29">
        <f>'8.M1 Frecuencia Ponderada'!D8/'8.M1 Frecuencia Ponderada'!D11</f>
        <v>1.2857142857142858</v>
      </c>
      <c r="K8" s="12">
        <f t="shared" si="0"/>
        <v>8.2392857142857139</v>
      </c>
      <c r="L8" s="9">
        <f>K8/SUM(K4:K11)</f>
        <v>0.11392405063291139</v>
      </c>
    </row>
    <row r="9" spans="1:12" ht="34.5" x14ac:dyDescent="0.35">
      <c r="A9" s="4">
        <v>6</v>
      </c>
      <c r="B9" s="22" t="s">
        <v>253</v>
      </c>
      <c r="C9" s="30">
        <f>'8.M1 Frecuencia Ponderada'!D9/'8.M1 Frecuencia Ponderada'!D4</f>
        <v>0.33333333333333337</v>
      </c>
      <c r="D9" s="30">
        <f>'8.M1 Frecuencia Ponderada'!D9/'8.M1 Frecuencia Ponderada'!D5</f>
        <v>0.4285714285714286</v>
      </c>
      <c r="E9" s="30">
        <f>'8.M1 Frecuencia Ponderada'!D9/'8.M1 Frecuencia Ponderada'!D6</f>
        <v>0.6</v>
      </c>
      <c r="F9" s="30">
        <f>'8.M1 Frecuencia Ponderada'!D9/'8.M1 Frecuencia Ponderada'!D7</f>
        <v>0.75000000000000011</v>
      </c>
      <c r="G9" s="30">
        <f>'8.M1 Frecuencia Ponderada'!D9/'8.M1 Frecuencia Ponderada'!D8</f>
        <v>0.66666666666666674</v>
      </c>
      <c r="H9" s="30">
        <f>'8.M1 Frecuencia Ponderada'!D9/'8.M1 Frecuencia Ponderada'!D9</f>
        <v>1</v>
      </c>
      <c r="I9" s="30">
        <f>'8.M1 Frecuencia Ponderada'!D9/'8.M1 Frecuencia Ponderada'!D10</f>
        <v>0.85714285714285721</v>
      </c>
      <c r="J9" s="30">
        <f>'8.M1 Frecuencia Ponderada'!D9/'8.M1 Frecuencia Ponderada'!D11</f>
        <v>0.85714285714285721</v>
      </c>
      <c r="K9" s="12">
        <f t="shared" si="0"/>
        <v>5.4928571428571438</v>
      </c>
      <c r="L9" s="9">
        <f>K9/SUM(K4:K11)</f>
        <v>7.5949367088607611E-2</v>
      </c>
    </row>
    <row r="10" spans="1:12" x14ac:dyDescent="0.35">
      <c r="A10" s="5">
        <v>7</v>
      </c>
      <c r="B10" s="22" t="s">
        <v>262</v>
      </c>
      <c r="C10" s="29">
        <f>'8.M1 Frecuencia Ponderada'!D10/'8.M1 Frecuencia Ponderada'!D4</f>
        <v>0.38888888888888884</v>
      </c>
      <c r="D10" s="29">
        <f>'8.M1 Frecuencia Ponderada'!D10/'8.M1 Frecuencia Ponderada'!D5</f>
        <v>0.5</v>
      </c>
      <c r="E10" s="29">
        <f>'8.M1 Frecuencia Ponderada'!D10/'8.M1 Frecuencia Ponderada'!D6</f>
        <v>0.7</v>
      </c>
      <c r="F10" s="29">
        <f>'8.M1 Frecuencia Ponderada'!D10/'8.M1 Frecuencia Ponderada'!D7</f>
        <v>0.875</v>
      </c>
      <c r="G10" s="29">
        <f>'8.M1 Frecuencia Ponderada'!D10/'8.M1 Frecuencia Ponderada'!D8</f>
        <v>0.77777777777777768</v>
      </c>
      <c r="H10" s="29">
        <f>'8.M1 Frecuencia Ponderada'!D10/'8.M1 Frecuencia Ponderada'!D9</f>
        <v>1.1666666666666665</v>
      </c>
      <c r="I10" s="29">
        <f>'8.M1 Frecuencia Ponderada'!D10/'8.M1 Frecuencia Ponderada'!D10</f>
        <v>1</v>
      </c>
      <c r="J10" s="29">
        <f>'8.M1 Frecuencia Ponderada'!D10/'8.M1 Frecuencia Ponderada'!D11</f>
        <v>1</v>
      </c>
      <c r="K10" s="12">
        <f t="shared" si="0"/>
        <v>6.4083333333333332</v>
      </c>
      <c r="L10" s="9">
        <f>K10/SUM(K4:K11)</f>
        <v>8.8607594936708861E-2</v>
      </c>
    </row>
    <row r="11" spans="1:12" ht="23" x14ac:dyDescent="0.35">
      <c r="A11" s="4">
        <v>8</v>
      </c>
      <c r="B11" s="22" t="s">
        <v>255</v>
      </c>
      <c r="C11" s="30">
        <f>'8.M1 Frecuencia Ponderada'!D11/'8.M1 Frecuencia Ponderada'!D4</f>
        <v>0.38888888888888884</v>
      </c>
      <c r="D11" s="30">
        <f>'8.M1 Frecuencia Ponderada'!D11/'8.M1 Frecuencia Ponderada'!D5</f>
        <v>0.5</v>
      </c>
      <c r="E11" s="30">
        <f>'8.M1 Frecuencia Ponderada'!D11/'8.M1 Frecuencia Ponderada'!D6</f>
        <v>0.7</v>
      </c>
      <c r="F11" s="30">
        <f>'8.M1 Frecuencia Ponderada'!D11/'8.M1 Frecuencia Ponderada'!D7</f>
        <v>0.875</v>
      </c>
      <c r="G11" s="30">
        <f>'8.M1 Frecuencia Ponderada'!D11/'8.M1 Frecuencia Ponderada'!D8</f>
        <v>0.77777777777777768</v>
      </c>
      <c r="H11" s="30">
        <f>'8.M1 Frecuencia Ponderada'!D11/'8.M1 Frecuencia Ponderada'!D9</f>
        <v>1.1666666666666665</v>
      </c>
      <c r="I11" s="30">
        <f>'8.M1 Frecuencia Ponderada'!D11/'8.M1 Frecuencia Ponderada'!D10</f>
        <v>1</v>
      </c>
      <c r="J11" s="30">
        <f>'8.M1 Frecuencia Ponderada'!D11/'8.M1 Frecuencia Ponderada'!D11</f>
        <v>1</v>
      </c>
      <c r="K11" s="12">
        <f t="shared" si="0"/>
        <v>6.4083333333333332</v>
      </c>
      <c r="L11" s="9">
        <f>K11/SUM(K4:K11)</f>
        <v>8.8607594936708861E-2</v>
      </c>
    </row>
    <row r="12" spans="1:12" x14ac:dyDescent="0.35">
      <c r="B12" s="6" t="s">
        <v>9</v>
      </c>
      <c r="L12" s="10">
        <f>SUM(L4:L11)</f>
        <v>1</v>
      </c>
    </row>
  </sheetData>
  <mergeCells count="1">
    <mergeCell ref="A1:K1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2"/>
  <sheetViews>
    <sheetView showGridLines="0" tabSelected="1" zoomScaleNormal="100" workbookViewId="0">
      <pane xSplit="2" ySplit="3" topLeftCell="C4" activePane="bottomRight" state="frozen"/>
      <selection pane="topRight" activeCell="C1" sqref="C1"/>
      <selection pane="bottomLeft" activeCell="A5" sqref="A5"/>
      <selection pane="bottomRight" activeCell="J2" sqref="J2"/>
    </sheetView>
  </sheetViews>
  <sheetFormatPr baseColWidth="10" defaultColWidth="8.6328125" defaultRowHeight="14.5" x14ac:dyDescent="0.35"/>
  <cols>
    <col min="1" max="1" width="4" customWidth="1"/>
    <col min="2" max="2" width="28" customWidth="1"/>
    <col min="3" max="4" width="18" customWidth="1"/>
    <col min="5" max="5" width="16" customWidth="1"/>
    <col min="6" max="6" width="24" customWidth="1"/>
  </cols>
  <sheetData>
    <row r="1" spans="1:7" ht="27.75" customHeight="1" x14ac:dyDescent="0.35">
      <c r="A1" s="105" t="s">
        <v>139</v>
      </c>
      <c r="B1" s="105"/>
      <c r="C1" s="105"/>
      <c r="D1" s="105"/>
      <c r="E1" s="105"/>
      <c r="F1" s="105"/>
      <c r="G1" s="105"/>
    </row>
    <row r="2" spans="1:7" ht="65" x14ac:dyDescent="0.35">
      <c r="A2" s="15" t="s">
        <v>140</v>
      </c>
      <c r="B2" s="9">
        <v>0.4</v>
      </c>
      <c r="C2" s="15" t="s">
        <v>141</v>
      </c>
      <c r="D2" s="9">
        <v>0.3</v>
      </c>
      <c r="E2" s="15" t="s">
        <v>142</v>
      </c>
      <c r="F2" s="9">
        <v>0.3</v>
      </c>
    </row>
    <row r="3" spans="1:7" ht="27.75" customHeight="1" x14ac:dyDescent="0.35">
      <c r="A3" s="6" t="s">
        <v>40</v>
      </c>
      <c r="B3" s="6" t="s">
        <v>120</v>
      </c>
      <c r="C3" s="6" t="s">
        <v>143</v>
      </c>
      <c r="D3" s="6" t="s">
        <v>144</v>
      </c>
      <c r="E3" s="6" t="s">
        <v>145</v>
      </c>
      <c r="F3" s="6" t="s">
        <v>146</v>
      </c>
    </row>
    <row r="4" spans="1:7" ht="46" x14ac:dyDescent="0.35">
      <c r="A4" s="5">
        <v>1</v>
      </c>
      <c r="B4" s="22" t="str">
        <f>'7. Matriz Datos Entrada'!B5</f>
        <v>Concreto con Agregados de Concreto Reciclado (Residuos de Construcción y Demolición – RCD)</v>
      </c>
      <c r="C4" s="17">
        <f>'8.M1 Frecuencia Ponderada'!E4</f>
        <v>0.22784810126582278</v>
      </c>
      <c r="D4" s="17">
        <f>'9.M2 Entropia Shannon'!H4</f>
        <v>0.11997347055652022</v>
      </c>
      <c r="E4" s="17">
        <f>'10.M3 AHP'!L4</f>
        <v>0.22784810126582278</v>
      </c>
      <c r="F4" s="18">
        <f t="shared" ref="F4:F11" si="0">$B$2*C4+$D$2*D4+$F$2*E4</f>
        <v>0.195485712053032</v>
      </c>
    </row>
    <row r="5" spans="1:7" ht="34.5" x14ac:dyDescent="0.35">
      <c r="A5" s="4">
        <v>2</v>
      </c>
      <c r="B5" s="22" t="str">
        <f>'7. Matriz Datos Entrada'!B6</f>
        <v>Geopolímeros Activados Alcalinamente (base escoria de alto horno y/o ceniza volante)</v>
      </c>
      <c r="C5" s="19">
        <f>'8.M1 Frecuencia Ponderada'!E5</f>
        <v>0.17721518987341769</v>
      </c>
      <c r="D5" s="19">
        <f>'9.M2 Entropia Shannon'!H5</f>
        <v>0.12056262899584552</v>
      </c>
      <c r="E5" s="19">
        <f>'10.M3 AHP'!L5</f>
        <v>0.17721518987341772</v>
      </c>
      <c r="F5" s="18">
        <f t="shared" si="0"/>
        <v>0.16021942161014605</v>
      </c>
    </row>
    <row r="6" spans="1:7" x14ac:dyDescent="0.35">
      <c r="A6" s="5">
        <v>3</v>
      </c>
      <c r="B6" s="22" t="str">
        <f>'7. Matriz Datos Entrada'!B7</f>
        <v>Bambú Estructural</v>
      </c>
      <c r="C6" s="17">
        <f>'8.M1 Frecuencia Ponderada'!E6</f>
        <v>0.12658227848101264</v>
      </c>
      <c r="D6" s="17">
        <f>'9.M2 Entropia Shannon'!H6</f>
        <v>0.12359680715735515</v>
      </c>
      <c r="E6" s="17">
        <f>'10.M3 AHP'!L6</f>
        <v>0.12658227848101267</v>
      </c>
      <c r="F6" s="18">
        <f t="shared" si="0"/>
        <v>0.12568663708391539</v>
      </c>
    </row>
    <row r="7" spans="1:7" ht="34.5" x14ac:dyDescent="0.35">
      <c r="A7" s="4">
        <v>4</v>
      </c>
      <c r="B7" s="22" t="str">
        <f>'7. Matriz Datos Entrada'!B8</f>
        <v>Concreto con Biochar (carbón vegetal pirolizado como sustituto parcial de cemento)</v>
      </c>
      <c r="C7" s="19">
        <f>'8.M1 Frecuencia Ponderada'!E7</f>
        <v>0.10126582278481011</v>
      </c>
      <c r="D7" s="19">
        <f>'9.M2 Entropia Shannon'!H7</f>
        <v>0.12614456568783119</v>
      </c>
      <c r="E7" s="19">
        <f>'10.M3 AHP'!L7</f>
        <v>0.10126582278481011</v>
      </c>
      <c r="F7" s="18">
        <f t="shared" si="0"/>
        <v>0.10872944565571643</v>
      </c>
    </row>
    <row r="8" spans="1:7" ht="34.5" x14ac:dyDescent="0.35">
      <c r="A8" s="5">
        <v>5</v>
      </c>
      <c r="B8" s="22" t="str">
        <f>'7. Matriz Datos Entrada'!B9</f>
        <v>Vidrio Reciclado Triturado como Sustituto de Árido Fino en Concreto y Morteros</v>
      </c>
      <c r="C8" s="17">
        <f>'8.M1 Frecuencia Ponderada'!E8</f>
        <v>0.11392405063291139</v>
      </c>
      <c r="D8" s="17">
        <f>'9.M2 Entropia Shannon'!H8</f>
        <v>0.12477649342575348</v>
      </c>
      <c r="E8" s="17">
        <f>'10.M3 AHP'!L8</f>
        <v>0.11392405063291139</v>
      </c>
      <c r="F8" s="18">
        <f t="shared" si="0"/>
        <v>0.11717978347076402</v>
      </c>
    </row>
    <row r="9" spans="1:7" ht="34.5" x14ac:dyDescent="0.35">
      <c r="A9" s="4">
        <v>6</v>
      </c>
      <c r="B9" s="22" t="str">
        <f>'7. Matriz Datos Entrada'!B10</f>
        <v>Hempcrete: Biocompuesto de Cáñamo Industrial y Cal Hidráulica</v>
      </c>
      <c r="C9" s="19">
        <f>'8.M1 Frecuencia Ponderada'!E9</f>
        <v>7.5949367088607597E-2</v>
      </c>
      <c r="D9" s="19">
        <f>'9.M2 Entropia Shannon'!H9</f>
        <v>0.12951300080183201</v>
      </c>
      <c r="E9" s="19">
        <f>'10.M3 AHP'!L9</f>
        <v>7.5949367088607611E-2</v>
      </c>
      <c r="F9" s="18">
        <f t="shared" si="0"/>
        <v>9.2018457202574927E-2</v>
      </c>
    </row>
    <row r="10" spans="1:7" ht="23" x14ac:dyDescent="0.35">
      <c r="A10" s="5">
        <v>7</v>
      </c>
      <c r="B10" s="22" t="str">
        <f>'7. Matriz Datos Entrada'!B11</f>
        <v>Ceniza de Cáscara de Arroz (Rice Husk Ash - RHA)</v>
      </c>
      <c r="C10" s="17">
        <f>'8.M1 Frecuencia Ponderada'!E10</f>
        <v>8.8607594936708847E-2</v>
      </c>
      <c r="D10" s="17">
        <f>'9.M2 Entropia Shannon'!H10</f>
        <v>0.1277165166874312</v>
      </c>
      <c r="E10" s="17">
        <f>'10.M3 AHP'!L10</f>
        <v>8.8607594936708861E-2</v>
      </c>
      <c r="F10" s="18">
        <f t="shared" si="0"/>
        <v>0.10034027146192556</v>
      </c>
    </row>
    <row r="11" spans="1:7" ht="23" x14ac:dyDescent="0.35">
      <c r="A11" s="4">
        <v>8</v>
      </c>
      <c r="B11" s="22" t="str">
        <f>'7. Matriz Datos Entrada'!B12</f>
        <v>Fibras de Refuerzo de Plástico Reciclado</v>
      </c>
      <c r="C11" s="19">
        <f>'8.M1 Frecuencia Ponderada'!E11</f>
        <v>8.8607594936708847E-2</v>
      </c>
      <c r="D11" s="19">
        <f>'9.M2 Entropia Shannon'!H11</f>
        <v>0.1277165166874312</v>
      </c>
      <c r="E11" s="19">
        <f>'10.M3 AHP'!L11</f>
        <v>8.8607594936708861E-2</v>
      </c>
      <c r="F11" s="18">
        <f t="shared" si="0"/>
        <v>0.10034027146192556</v>
      </c>
    </row>
    <row r="12" spans="1:7" x14ac:dyDescent="0.35">
      <c r="B12" s="6" t="s">
        <v>9</v>
      </c>
      <c r="C12" s="10">
        <f>SUM(C4:C11)</f>
        <v>1</v>
      </c>
      <c r="D12" s="10">
        <f>SUM(D4:D11)</f>
        <v>1</v>
      </c>
      <c r="E12" s="10">
        <f>SUM(E4:E11)</f>
        <v>1</v>
      </c>
      <c r="F12" s="10">
        <f>SUM(F4:F11)</f>
        <v>0.99999999999999989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55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J15" sqref="J15"/>
    </sheetView>
  </sheetViews>
  <sheetFormatPr baseColWidth="10" defaultColWidth="8.6328125" defaultRowHeight="14.5" x14ac:dyDescent="0.35"/>
  <cols>
    <col min="1" max="1" width="4" customWidth="1"/>
    <col min="2" max="2" width="28.90625" customWidth="1"/>
    <col min="3" max="4" width="16" customWidth="1"/>
    <col min="5" max="5" width="14" customWidth="1"/>
    <col min="6" max="6" width="12" customWidth="1"/>
    <col min="7" max="7" width="22" customWidth="1"/>
  </cols>
  <sheetData>
    <row r="1" spans="1:9" ht="27.75" customHeight="1" x14ac:dyDescent="0.35">
      <c r="A1" s="105" t="s">
        <v>148</v>
      </c>
      <c r="B1" s="105"/>
      <c r="C1" s="105"/>
      <c r="D1" s="105"/>
      <c r="E1" s="105"/>
      <c r="F1" s="105"/>
      <c r="G1" s="105"/>
      <c r="H1" s="105"/>
      <c r="I1" s="105"/>
    </row>
    <row r="2" spans="1:9" ht="15.75" customHeight="1" x14ac:dyDescent="0.35">
      <c r="A2" s="106" t="s">
        <v>149</v>
      </c>
      <c r="B2" s="106"/>
      <c r="C2" s="106"/>
      <c r="D2" s="106"/>
      <c r="E2" s="106"/>
      <c r="F2" s="106"/>
      <c r="G2" s="106"/>
      <c r="H2" s="106"/>
      <c r="I2" s="106"/>
    </row>
    <row r="4" spans="1:9" ht="15" customHeight="1" x14ac:dyDescent="0.35">
      <c r="A4" s="109" t="s">
        <v>150</v>
      </c>
      <c r="B4" s="109"/>
      <c r="C4" s="109"/>
      <c r="D4" s="109"/>
      <c r="E4" s="109"/>
      <c r="F4" s="109"/>
      <c r="G4" s="109"/>
      <c r="H4" s="110"/>
      <c r="I4" s="109"/>
    </row>
    <row r="5" spans="1:9" ht="48" customHeight="1" x14ac:dyDescent="0.35">
      <c r="A5" s="20" t="s">
        <v>40</v>
      </c>
      <c r="B5" s="20" t="s">
        <v>120</v>
      </c>
      <c r="C5" s="20" t="s">
        <v>263</v>
      </c>
      <c r="D5" s="20" t="s">
        <v>235</v>
      </c>
      <c r="E5" s="20" t="s">
        <v>241</v>
      </c>
      <c r="F5" s="20" t="s">
        <v>264</v>
      </c>
      <c r="G5" s="124" t="s">
        <v>265</v>
      </c>
      <c r="H5" s="125"/>
    </row>
    <row r="6" spans="1:9" ht="29" customHeight="1" x14ac:dyDescent="0.35">
      <c r="A6" s="31" t="s">
        <v>151</v>
      </c>
      <c r="B6" s="31" t="s">
        <v>152</v>
      </c>
      <c r="C6" s="33" t="s">
        <v>153</v>
      </c>
      <c r="D6" s="33" t="s">
        <v>153</v>
      </c>
      <c r="E6" s="34" t="s">
        <v>154</v>
      </c>
      <c r="F6" s="33" t="s">
        <v>153</v>
      </c>
      <c r="G6" s="33" t="s">
        <v>153</v>
      </c>
    </row>
    <row r="7" spans="1:9" ht="34.5" x14ac:dyDescent="0.35">
      <c r="A7" s="35" t="s">
        <v>147</v>
      </c>
      <c r="B7" s="36" t="s">
        <v>155</v>
      </c>
      <c r="C7" s="37">
        <f>'5. Peso Final Combinado'!E4</f>
        <v>0.34022248790357074</v>
      </c>
      <c r="D7" s="37">
        <f>'5. Peso Final Combinado'!E5</f>
        <v>0.20462611797023306</v>
      </c>
      <c r="E7" s="37">
        <f>'5. Peso Final Combinado'!E6</f>
        <v>0.18648624296233091</v>
      </c>
      <c r="F7" s="37">
        <f>'5. Peso Final Combinado'!E7</f>
        <v>0.15982398701940304</v>
      </c>
      <c r="G7" s="37">
        <f>'5. Peso Final Combinado'!E8</f>
        <v>0.10884116414446218</v>
      </c>
    </row>
    <row r="8" spans="1:9" ht="46" x14ac:dyDescent="0.35">
      <c r="A8" s="4">
        <v>1</v>
      </c>
      <c r="B8" s="22" t="str">
        <f>'7. Matriz Datos Entrada'!B5</f>
        <v>Concreto con Agregados de Concreto Reciclado (Residuos de Construcción y Demolición – RCD)</v>
      </c>
      <c r="C8" s="11">
        <f>'7. Matriz Datos Entrada'!C5/SQRT(SUMPRODUCT('7. Matriz Datos Entrada'!C5:C12,'7. Matriz Datos Entrada'!C5:C12))</f>
        <v>0.55789443500352531</v>
      </c>
      <c r="D8" s="11">
        <f>'7. Matriz Datos Entrada'!D5/SQRT(SUMPRODUCT('7. Matriz Datos Entrada'!D5:D12,'7. Matriz Datos Entrada'!D5:D12))</f>
        <v>0.23796224962245477</v>
      </c>
      <c r="E8" s="11">
        <f>'7. Matriz Datos Entrada'!E5/SQRT(SUMPRODUCT('7. Matriz Datos Entrada'!E5:E12,'7. Matriz Datos Entrada'!E5:E12))</f>
        <v>0.38691161626706844</v>
      </c>
      <c r="F8" s="11">
        <f>'7. Matriz Datos Entrada'!F5/SQRT(SUMPRODUCT('7. Matriz Datos Entrada'!F5:F12,'7. Matriz Datos Entrada'!F5:F12))</f>
        <v>0.28126502157385197</v>
      </c>
      <c r="G8" s="11">
        <f>'7. Matriz Datos Entrada'!G5/SQRT(SUMPRODUCT('7. Matriz Datos Entrada'!G5:G12,'7. Matriz Datos Entrada'!G5:G12))</f>
        <v>0.44271887242357311</v>
      </c>
    </row>
    <row r="9" spans="1:9" ht="34.5" x14ac:dyDescent="0.35">
      <c r="A9" s="5">
        <v>2</v>
      </c>
      <c r="B9" s="22" t="str">
        <f>'7. Matriz Datos Entrada'!B6</f>
        <v>Geopolímeros Activados Alcalinamente (base escoria de alto horno y/o ceniza volante)</v>
      </c>
      <c r="C9" s="13">
        <f>'7. Matriz Datos Entrada'!C6/SQRT(SUMPRODUCT('7. Matriz Datos Entrada'!C5:C12,'7. Matriz Datos Entrada'!C5:C12))</f>
        <v>0.17434201093860166</v>
      </c>
      <c r="D9" s="13">
        <f>'7. Matriz Datos Entrada'!D6/SQRT(SUMPRODUCT('7. Matriz Datos Entrada'!D5:D12,'7. Matriz Datos Entrada'!D5:D12))</f>
        <v>0.69405656139882643</v>
      </c>
      <c r="E9" s="13">
        <f>'7. Matriz Datos Entrada'!E6/SQRT(SUMPRODUCT('7. Matriz Datos Entrada'!E5:E12,'7. Matriz Datos Entrada'!E5:E12))</f>
        <v>0.41270572401820638</v>
      </c>
      <c r="F9" s="13">
        <f>'7. Matriz Datos Entrada'!F6/SQRT(SUMPRODUCT('7. Matriz Datos Entrada'!F5:F12,'7. Matriz Datos Entrada'!F5:F12))</f>
        <v>0.42189753236077798</v>
      </c>
      <c r="G9" s="13">
        <f>'7. Matriz Datos Entrada'!G6/SQRT(SUMPRODUCT('7. Matriz Datos Entrada'!G5:G12,'7. Matriz Datos Entrada'!G5:G12))</f>
        <v>0.37947331922020555</v>
      </c>
    </row>
    <row r="10" spans="1:9" x14ac:dyDescent="0.35">
      <c r="A10" s="4">
        <v>3</v>
      </c>
      <c r="B10" s="22" t="str">
        <f>'7. Matriz Datos Entrada'!B7</f>
        <v>Bambú Estructural</v>
      </c>
      <c r="C10" s="11">
        <f>'7. Matriz Datos Entrada'!C7/SQRT(SUMPRODUCT('7. Matriz Datos Entrada'!C5:C12,'7. Matriz Datos Entrada'!C5:C12))</f>
        <v>8.717100546930083E-2</v>
      </c>
      <c r="D10" s="11">
        <f>'7. Matriz Datos Entrada'!D7/SQRT(SUMPRODUCT('7. Matriz Datos Entrada'!D5:D12,'7. Matriz Datos Entrada'!D5:D12))</f>
        <v>9.9150937342689482E-2</v>
      </c>
      <c r="E10" s="11">
        <f>'7. Matriz Datos Entrada'!E7/SQRT(SUMPRODUCT('7. Matriz Datos Entrada'!E5:E12,'7. Matriz Datos Entrada'!E5:E12))</f>
        <v>0.36111750851593055</v>
      </c>
      <c r="F10" s="11">
        <f>'7. Matriz Datos Entrada'!F7/SQRT(SUMPRODUCT('7. Matriz Datos Entrada'!F5:F12,'7. Matriz Datos Entrada'!F5:F12))</f>
        <v>0.38673940466404649</v>
      </c>
      <c r="G10" s="11">
        <f>'7. Matriz Datos Entrada'!G7/SQRT(SUMPRODUCT('7. Matriz Datos Entrada'!G5:G12,'7. Matriz Datos Entrada'!G5:G12))</f>
        <v>0.18973665961010278</v>
      </c>
    </row>
    <row r="11" spans="1:9" ht="34.5" x14ac:dyDescent="0.35">
      <c r="A11" s="5">
        <v>4</v>
      </c>
      <c r="B11" s="22" t="str">
        <f>'7. Matriz Datos Entrada'!B8</f>
        <v>Concreto con Biochar (carbón vegetal pirolizado como sustituto parcial de cemento)</v>
      </c>
      <c r="C11" s="13">
        <f>'7. Matriz Datos Entrada'!C8/SQRT(SUMPRODUCT('7. Matriz Datos Entrada'!C5:C12,'7. Matriz Datos Entrada'!C5:C12))</f>
        <v>0.31381561968948296</v>
      </c>
      <c r="D11" s="13">
        <f>'7. Matriz Datos Entrada'!D8/SQRT(SUMPRODUCT('7. Matriz Datos Entrada'!D5:D12,'7. Matriz Datos Entrada'!D5:D12))</f>
        <v>0.35694337443368218</v>
      </c>
      <c r="E11" s="13">
        <f>'7. Matriz Datos Entrada'!E8/SQRT(SUMPRODUCT('7. Matriz Datos Entrada'!E5:E12,'7. Matriz Datos Entrada'!E5:E12))</f>
        <v>0.36111750851593055</v>
      </c>
      <c r="F11" s="13">
        <f>'7. Matriz Datos Entrada'!F8/SQRT(SUMPRODUCT('7. Matriz Datos Entrada'!F5:F12,'7. Matriz Datos Entrada'!F5:F12))</f>
        <v>0.38673940466404649</v>
      </c>
      <c r="G11" s="13">
        <f>'7. Matriz Datos Entrada'!G8/SQRT(SUMPRODUCT('7. Matriz Datos Entrada'!G5:G12,'7. Matriz Datos Entrada'!G5:G12))</f>
        <v>0.25298221281347033</v>
      </c>
    </row>
    <row r="12" spans="1:9" ht="34.5" x14ac:dyDescent="0.35">
      <c r="A12" s="4">
        <v>5</v>
      </c>
      <c r="B12" s="22" t="str">
        <f>'7. Matriz Datos Entrada'!B9</f>
        <v>Vidrio Reciclado Triturado como Sustituto de Árido Fino en Concreto y Morteros</v>
      </c>
      <c r="C12" s="11">
        <f>'7. Matriz Datos Entrada'!C9/SQRT(SUMPRODUCT('7. Matriz Datos Entrada'!C5:C12,'7. Matriz Datos Entrada'!C5:C12))</f>
        <v>0.48815763062808465</v>
      </c>
      <c r="D12" s="11">
        <f>'7. Matriz Datos Entrada'!D9/SQRT(SUMPRODUCT('7. Matriz Datos Entrada'!D5:D12,'7. Matriz Datos Entrada'!D5:D12))</f>
        <v>0.19830187468537896</v>
      </c>
      <c r="E12" s="11">
        <f>'7. Matriz Datos Entrada'!E9/SQRT(SUMPRODUCT('7. Matriz Datos Entrada'!E5:E12,'7. Matriz Datos Entrada'!E5:E12))</f>
        <v>0.33532340076479267</v>
      </c>
      <c r="F12" s="11">
        <f>'7. Matriz Datos Entrada'!F9/SQRT(SUMPRODUCT('7. Matriz Datos Entrada'!F5:F12,'7. Matriz Datos Entrada'!F5:F12))</f>
        <v>0.24610689387712051</v>
      </c>
      <c r="G12" s="11">
        <f>'7. Matriz Datos Entrada'!G9/SQRT(SUMPRODUCT('7. Matriz Datos Entrada'!G5:G12,'7. Matriz Datos Entrada'!G5:G12))</f>
        <v>0.31622776601683794</v>
      </c>
    </row>
    <row r="13" spans="1:9" ht="34.5" x14ac:dyDescent="0.35">
      <c r="A13" s="5">
        <v>6</v>
      </c>
      <c r="B13" s="22" t="str">
        <f>'7. Matriz Datos Entrada'!B10</f>
        <v>Hempcrete: Biocompuesto de Cáñamo Industrial y Cal Hidráulica</v>
      </c>
      <c r="C13" s="13">
        <f>'7. Matriz Datos Entrada'!C10/SQRT(SUMPRODUCT('7. Matriz Datos Entrada'!C5:C12,'7. Matriz Datos Entrada'!C5:C12))</f>
        <v>6.9736804375440664E-2</v>
      </c>
      <c r="D13" s="13">
        <f>'7. Matriz Datos Entrada'!D10/SQRT(SUMPRODUCT('7. Matriz Datos Entrada'!D5:D12,'7. Matriz Datos Entrada'!D5:D12))</f>
        <v>0.15864149974830319</v>
      </c>
      <c r="E13" s="13">
        <f>'7. Matriz Datos Entrada'!E10/SQRT(SUMPRODUCT('7. Matriz Datos Entrada'!E5:E12,'7. Matriz Datos Entrada'!E5:E12))</f>
        <v>0.28373518526251684</v>
      </c>
      <c r="F13" s="13">
        <f>'7. Matriz Datos Entrada'!F10/SQRT(SUMPRODUCT('7. Matriz Datos Entrada'!F5:F12,'7. Matriz Datos Entrada'!F5:F12))</f>
        <v>0.52737191545097251</v>
      </c>
      <c r="G13" s="13">
        <f>'7. Matriz Datos Entrada'!G10/SQRT(SUMPRODUCT('7. Matriz Datos Entrada'!G5:G12,'7. Matriz Datos Entrada'!G5:G12))</f>
        <v>0.18973665961010278</v>
      </c>
    </row>
    <row r="14" spans="1:9" ht="23" x14ac:dyDescent="0.35">
      <c r="A14" s="4">
        <v>7</v>
      </c>
      <c r="B14" s="22" t="str">
        <f>'7. Matriz Datos Entrada'!B11</f>
        <v>Ceniza de Cáscara de Arroz (Rice Husk Ash - RHA)</v>
      </c>
      <c r="C14" s="11">
        <f>'7. Matriz Datos Entrada'!C11/SQRT(SUMPRODUCT('7. Matriz Datos Entrada'!C5:C12,'7. Matriz Datos Entrada'!C5:C12))</f>
        <v>0.36611822297106345</v>
      </c>
      <c r="D14" s="11">
        <f>'7. Matriz Datos Entrada'!D11/SQRT(SUMPRODUCT('7. Matriz Datos Entrada'!D5:D12,'7. Matriz Datos Entrada'!D5:D12))</f>
        <v>0.11898112481122738</v>
      </c>
      <c r="E14" s="11">
        <f>'7. Matriz Datos Entrada'!E11/SQRT(SUMPRODUCT('7. Matriz Datos Entrada'!E5:E12,'7. Matriz Datos Entrada'!E5:E12))</f>
        <v>0.36111750851593055</v>
      </c>
      <c r="F14" s="11">
        <f>'7. Matriz Datos Entrada'!F11/SQRT(SUMPRODUCT('7. Matriz Datos Entrada'!F5:F12,'7. Matriz Datos Entrada'!F5:F12))</f>
        <v>0.21094876618038899</v>
      </c>
      <c r="G14" s="11">
        <f>'7. Matriz Datos Entrada'!G11/SQRT(SUMPRODUCT('7. Matriz Datos Entrada'!G5:G12,'7. Matriz Datos Entrada'!G5:G12))</f>
        <v>0.31622776601683794</v>
      </c>
    </row>
    <row r="15" spans="1:9" ht="23" x14ac:dyDescent="0.35">
      <c r="A15" s="5">
        <v>8</v>
      </c>
      <c r="B15" s="22" t="str">
        <f>'7. Matriz Datos Entrada'!B12</f>
        <v>Fibras de Refuerzo de Plástico Reciclado</v>
      </c>
      <c r="C15" s="13">
        <f>'7. Matriz Datos Entrada'!C12/SQRT(SUMPRODUCT('7. Matriz Datos Entrada'!C5:C12,'7. Matriz Datos Entrada'!C5:C12))</f>
        <v>0.41842082625264398</v>
      </c>
      <c r="D15" s="13">
        <f>'7. Matriz Datos Entrada'!D12/SQRT(SUMPRODUCT('7. Matriz Datos Entrada'!D5:D12,'7. Matriz Datos Entrada'!D5:D12))</f>
        <v>0.49575468671344741</v>
      </c>
      <c r="E15" s="13">
        <f>'7. Matriz Datos Entrada'!E12/SQRT(SUMPRODUCT('7. Matriz Datos Entrada'!E5:E12,'7. Matriz Datos Entrada'!E5:E12))</f>
        <v>0.30952929301365478</v>
      </c>
      <c r="F15" s="13">
        <f>'7. Matriz Datos Entrada'!F12/SQRT(SUMPRODUCT('7. Matriz Datos Entrada'!F5:F12,'7. Matriz Datos Entrada'!F5:F12))</f>
        <v>0.24610689387712051</v>
      </c>
      <c r="G15" s="13">
        <f>'7. Matriz Datos Entrada'!G12/SQRT(SUMPRODUCT('7. Matriz Datos Entrada'!G5:G12,'7. Matriz Datos Entrada'!G5:G12))</f>
        <v>0.56920997883030833</v>
      </c>
    </row>
    <row r="17" spans="1:9" ht="15" customHeight="1" x14ac:dyDescent="0.35">
      <c r="A17" s="109" t="s">
        <v>156</v>
      </c>
      <c r="B17" s="109"/>
      <c r="C17" s="109"/>
      <c r="D17" s="109"/>
      <c r="E17" s="109"/>
      <c r="F17" s="109"/>
      <c r="G17" s="109"/>
      <c r="H17" s="110"/>
      <c r="I17" s="109"/>
    </row>
    <row r="18" spans="1:9" ht="36" customHeight="1" x14ac:dyDescent="0.35">
      <c r="A18" s="20" t="s">
        <v>40</v>
      </c>
      <c r="B18" s="20" t="s">
        <v>120</v>
      </c>
      <c r="C18" s="20" t="s">
        <v>4</v>
      </c>
      <c r="D18" s="20" t="s">
        <v>5</v>
      </c>
      <c r="E18" s="20" t="s">
        <v>6</v>
      </c>
      <c r="F18" s="20" t="s">
        <v>7</v>
      </c>
      <c r="G18" s="124" t="s">
        <v>8</v>
      </c>
      <c r="H18" s="125"/>
    </row>
    <row r="19" spans="1:9" ht="23" x14ac:dyDescent="0.35">
      <c r="A19" s="5">
        <v>1</v>
      </c>
      <c r="B19" s="22" t="str">
        <f>'7. Matriz Datos Entrada'!B5</f>
        <v>Concreto con Agregados de Concreto Reciclado (Residuos de Construcción y Demolición – RCD)</v>
      </c>
      <c r="C19" s="38">
        <f>'5. Peso Final Combinado'!E4*C8</f>
        <v>0.18980823266445632</v>
      </c>
      <c r="D19" s="38">
        <f>'5. Peso Final Combinado'!E5*D8</f>
        <v>4.8693291363706474E-2</v>
      </c>
      <c r="E19" s="38">
        <f>'5. Peso Final Combinado'!E6*E8</f>
        <v>7.2153693676128672E-2</v>
      </c>
      <c r="F19" s="38">
        <f>'5. Peso Final Combinado'!E7*F8</f>
        <v>4.4952897157031435E-2</v>
      </c>
      <c r="G19" s="38">
        <f>'5. Peso Final Combinado'!E8*G8</f>
        <v>4.8186037463305333E-2</v>
      </c>
    </row>
    <row r="20" spans="1:9" ht="23" x14ac:dyDescent="0.35">
      <c r="A20" s="4">
        <v>2</v>
      </c>
      <c r="B20" s="22" t="str">
        <f>'7. Matriz Datos Entrada'!B6</f>
        <v>Geopolímeros Activados Alcalinamente (base escoria de alto horno y/o ceniza volante)</v>
      </c>
      <c r="C20" s="39">
        <f>'5. Peso Final Combinado'!E4*C9</f>
        <v>5.9315072707642601E-2</v>
      </c>
      <c r="D20" s="39">
        <f>'5. Peso Final Combinado'!E5*D9</f>
        <v>0.14202209981081057</v>
      </c>
      <c r="E20" s="39">
        <f>'5. Peso Final Combinado'!E6*E9</f>
        <v>7.6963939921203914E-2</v>
      </c>
      <c r="F20" s="39">
        <f>'5. Peso Final Combinado'!E7*F9</f>
        <v>6.7429345735547153E-2</v>
      </c>
      <c r="G20" s="39">
        <f>'5. Peso Final Combinado'!E8*G9</f>
        <v>4.1302317825690285E-2</v>
      </c>
    </row>
    <row r="21" spans="1:9" x14ac:dyDescent="0.35">
      <c r="A21" s="5">
        <v>3</v>
      </c>
      <c r="B21" s="22" t="str">
        <f>'7. Matriz Datos Entrada'!B7</f>
        <v>Bambú Estructural</v>
      </c>
      <c r="C21" s="38">
        <f>'5. Peso Final Combinado'!E4*C10</f>
        <v>2.96575363538213E-2</v>
      </c>
      <c r="D21" s="38">
        <f>'5. Peso Final Combinado'!E5*D10</f>
        <v>2.0288871401544364E-2</v>
      </c>
      <c r="E21" s="38">
        <f>'5. Peso Final Combinado'!E6*E10</f>
        <v>6.734344743105343E-2</v>
      </c>
      <c r="F21" s="38">
        <f>'5. Peso Final Combinado'!E7*F10</f>
        <v>6.1810233590918223E-2</v>
      </c>
      <c r="G21" s="38">
        <f>'5. Peso Final Combinado'!E8*G10</f>
        <v>2.0651158912845143E-2</v>
      </c>
    </row>
    <row r="22" spans="1:9" x14ac:dyDescent="0.35">
      <c r="A22" s="4">
        <v>4</v>
      </c>
      <c r="B22" s="22" t="str">
        <f>'7. Matriz Datos Entrada'!B8</f>
        <v>Concreto con Biochar (carbón vegetal pirolizado como sustituto parcial de cemento)</v>
      </c>
      <c r="C22" s="39">
        <f>'5. Peso Final Combinado'!E4*C11</f>
        <v>0.10676713087375667</v>
      </c>
      <c r="D22" s="39">
        <f>'5. Peso Final Combinado'!E5*D11</f>
        <v>7.3039937045559722E-2</v>
      </c>
      <c r="E22" s="39">
        <f>'5. Peso Final Combinado'!E6*E11</f>
        <v>6.734344743105343E-2</v>
      </c>
      <c r="F22" s="39">
        <f>'5. Peso Final Combinado'!E7*F11</f>
        <v>6.1810233590918223E-2</v>
      </c>
      <c r="G22" s="39">
        <f>'5. Peso Final Combinado'!E8*G11</f>
        <v>2.7534878550460187E-2</v>
      </c>
    </row>
    <row r="23" spans="1:9" ht="23" x14ac:dyDescent="0.35">
      <c r="A23" s="5">
        <v>5</v>
      </c>
      <c r="B23" s="22" t="str">
        <f>'7. Matriz Datos Entrada'!B9</f>
        <v>Vidrio Reciclado Triturado como Sustituto de Árido Fino en Concreto y Morteros</v>
      </c>
      <c r="C23" s="38">
        <f>'5. Peso Final Combinado'!E4*C12</f>
        <v>0.16608220358139927</v>
      </c>
      <c r="D23" s="38">
        <f>'5. Peso Final Combinado'!E5*D12</f>
        <v>4.0577742803088727E-2</v>
      </c>
      <c r="E23" s="38">
        <f>'5. Peso Final Combinado'!E6*E12</f>
        <v>6.2533201185978188E-2</v>
      </c>
      <c r="F23" s="38">
        <f>'5. Peso Final Combinado'!E7*F12</f>
        <v>3.9333785012402506E-2</v>
      </c>
      <c r="G23" s="38">
        <f>'5. Peso Final Combinado'!E8*G12</f>
        <v>3.4418598188075238E-2</v>
      </c>
    </row>
    <row r="24" spans="1:9" ht="23" x14ac:dyDescent="0.35">
      <c r="A24" s="4">
        <v>6</v>
      </c>
      <c r="B24" s="22" t="str">
        <f>'7. Matriz Datos Entrada'!B10</f>
        <v>Hempcrete: Biocompuesto de Cáñamo Industrial y Cal Hidráulica</v>
      </c>
      <c r="C24" s="39">
        <f>'5. Peso Final Combinado'!E4*C13</f>
        <v>2.372602908305704E-2</v>
      </c>
      <c r="D24" s="39">
        <f>'5. Peso Final Combinado'!E5*D13</f>
        <v>3.2462194242470988E-2</v>
      </c>
      <c r="E24" s="39">
        <f>'5. Peso Final Combinado'!E6*E13</f>
        <v>5.291270869582769E-2</v>
      </c>
      <c r="F24" s="39">
        <f>'5. Peso Final Combinado'!E7*F13</f>
        <v>8.4286682169433941E-2</v>
      </c>
      <c r="G24" s="39">
        <f>'5. Peso Final Combinado'!E8*G13</f>
        <v>2.0651158912845143E-2</v>
      </c>
    </row>
    <row r="25" spans="1:9" ht="23" x14ac:dyDescent="0.35">
      <c r="A25" s="5">
        <v>7</v>
      </c>
      <c r="B25" s="22" t="str">
        <f>'7. Matriz Datos Entrada'!B11</f>
        <v>Ceniza de Cáscara de Arroz (Rice Husk Ash - RHA)</v>
      </c>
      <c r="C25" s="38">
        <f>'5. Peso Final Combinado'!E4*C14</f>
        <v>0.12456165268604945</v>
      </c>
      <c r="D25" s="38">
        <f>'5. Peso Final Combinado'!E5*D14</f>
        <v>2.4346645681853237E-2</v>
      </c>
      <c r="E25" s="38">
        <f>'5. Peso Final Combinado'!E6*E14</f>
        <v>6.734344743105343E-2</v>
      </c>
      <c r="F25" s="38">
        <f>'5. Peso Final Combinado'!E7*F14</f>
        <v>3.3714672867773576E-2</v>
      </c>
      <c r="G25" s="38">
        <f>'5. Peso Final Combinado'!E8*G14</f>
        <v>3.4418598188075238E-2</v>
      </c>
    </row>
    <row r="26" spans="1:9" ht="23" x14ac:dyDescent="0.35">
      <c r="A26" s="4">
        <v>8</v>
      </c>
      <c r="B26" s="22" t="str">
        <f>'7. Matriz Datos Entrada'!B12</f>
        <v>Fibras de Refuerzo de Plástico Reciclado</v>
      </c>
      <c r="C26" s="39">
        <f>'5. Peso Final Combinado'!E4*C15</f>
        <v>0.14235617449834223</v>
      </c>
      <c r="D26" s="39">
        <f>'5. Peso Final Combinado'!E5*D15</f>
        <v>0.10144435700772182</v>
      </c>
      <c r="E26" s="39">
        <f>'5. Peso Final Combinado'!E6*E15</f>
        <v>5.7722954940902939E-2</v>
      </c>
      <c r="F26" s="39">
        <f>'5. Peso Final Combinado'!E7*F15</f>
        <v>3.9333785012402506E-2</v>
      </c>
      <c r="G26" s="39">
        <f>'5. Peso Final Combinado'!E8*G15</f>
        <v>6.1953476738535435E-2</v>
      </c>
    </row>
    <row r="28" spans="1:9" ht="15" customHeight="1" x14ac:dyDescent="0.35">
      <c r="A28" s="109" t="s">
        <v>157</v>
      </c>
      <c r="B28" s="109"/>
      <c r="C28" s="109"/>
      <c r="D28" s="109"/>
      <c r="E28" s="109"/>
      <c r="F28" s="109"/>
      <c r="G28" s="109"/>
      <c r="H28" s="109"/>
      <c r="I28" s="109"/>
    </row>
    <row r="29" spans="1:9" ht="39" x14ac:dyDescent="0.35">
      <c r="A29" s="21" t="s">
        <v>158</v>
      </c>
      <c r="B29" s="32" t="s">
        <v>159</v>
      </c>
      <c r="C29" s="40">
        <f>MIN(C19:C26)</f>
        <v>2.372602908305704E-2</v>
      </c>
      <c r="D29" s="40">
        <f>MIN(D19:D26)</f>
        <v>2.0288871401544364E-2</v>
      </c>
      <c r="E29" s="40">
        <f>MAX(E19:E26)</f>
        <v>7.6963939921203914E-2</v>
      </c>
      <c r="F29" s="40">
        <f>MIN(F19:F26)</f>
        <v>3.3714672867773576E-2</v>
      </c>
      <c r="G29" s="40">
        <f>MIN(G19:G26)</f>
        <v>2.0651158912845143E-2</v>
      </c>
    </row>
    <row r="30" spans="1:9" ht="65" x14ac:dyDescent="0.35">
      <c r="A30" s="41" t="s">
        <v>160</v>
      </c>
      <c r="B30" s="42" t="s">
        <v>161</v>
      </c>
      <c r="C30" s="43">
        <f>MAX(C19:C26)</f>
        <v>0.18980823266445632</v>
      </c>
      <c r="D30" s="43">
        <f>MAX(D19:D26)</f>
        <v>0.14202209981081057</v>
      </c>
      <c r="E30" s="43">
        <f>MIN(E19:E26)</f>
        <v>5.291270869582769E-2</v>
      </c>
      <c r="F30" s="43">
        <f>MAX(F19:F26)</f>
        <v>8.4286682169433941E-2</v>
      </c>
      <c r="G30" s="43">
        <f>MAX(G19:G26)</f>
        <v>6.1953476738535435E-2</v>
      </c>
    </row>
    <row r="32" spans="1:9" ht="15" customHeight="1" x14ac:dyDescent="0.35">
      <c r="A32" s="109" t="s">
        <v>162</v>
      </c>
      <c r="B32" s="109"/>
      <c r="C32" s="109"/>
      <c r="D32" s="109"/>
      <c r="E32" s="109"/>
      <c r="F32" s="109"/>
      <c r="G32" s="109"/>
      <c r="H32" s="109"/>
      <c r="I32" s="109"/>
    </row>
    <row r="33" spans="1:9" ht="36" customHeight="1" x14ac:dyDescent="0.35">
      <c r="A33" s="6" t="s">
        <v>40</v>
      </c>
      <c r="B33" s="6" t="s">
        <v>120</v>
      </c>
      <c r="C33" s="6" t="s">
        <v>163</v>
      </c>
      <c r="D33" s="6" t="s">
        <v>164</v>
      </c>
    </row>
    <row r="34" spans="1:9" ht="23" x14ac:dyDescent="0.35">
      <c r="A34" s="4">
        <v>1</v>
      </c>
      <c r="B34" s="22" t="str">
        <f>'7. Matriz Datos Entrada'!B5</f>
        <v>Concreto con Agregados de Concreto Reciclado (Residuos de Construcción y Demolición – RCD)</v>
      </c>
      <c r="C34" s="44">
        <f>SQRT((C19-C29)^2+(D19-D29)^2+(E19-E29)^2+(F19-F29)^2+(G19-G29)^2)</f>
        <v>0.17116575332332909</v>
      </c>
      <c r="D34" s="45">
        <f>SQRT((C19-C30)^2+(D19-D30)^2+(E19-E30)^2+(F19-F30)^2+(G19-G30)^2)</f>
        <v>0.10400562973593049</v>
      </c>
    </row>
    <row r="35" spans="1:9" ht="23" x14ac:dyDescent="0.35">
      <c r="A35" s="5">
        <v>2</v>
      </c>
      <c r="B35" s="22" t="str">
        <f>'7. Matriz Datos Entrada'!B6</f>
        <v>Geopolímeros Activados Alcalinamente (base escoria de alto horno y/o ceniza volante)</v>
      </c>
      <c r="C35" s="44">
        <f>SQRT((C20-C29)^2+(D20-D29)^2+(E20-E29)^2+(F20-F29)^2+(G20-G29)^2)</f>
        <v>0.13284844167727297</v>
      </c>
      <c r="D35" s="45">
        <f>SQRT((C20-C30)^2+(D20-D30)^2+(E20-E30)^2+(F20-F30)^2+(G20-G30)^2)</f>
        <v>0.13534240530986552</v>
      </c>
    </row>
    <row r="36" spans="1:9" x14ac:dyDescent="0.35">
      <c r="A36" s="4">
        <v>3</v>
      </c>
      <c r="B36" s="22" t="str">
        <f>'7. Matriz Datos Entrada'!B7</f>
        <v>Bambú Estructural</v>
      </c>
      <c r="C36" s="44">
        <f>SQRT((C21-C29)^2+(D21-D29)^2+(E21-E29)^2+(F21-F29)^2+(G21-G29)^2)</f>
        <v>3.0283612509145592E-2</v>
      </c>
      <c r="D36" s="45">
        <f>SQRT((C21-C30)^2+(D21-D30)^2+(E21-E30)^2+(F21-F30)^2+(G21-G30)^2)</f>
        <v>0.2070906633497637</v>
      </c>
    </row>
    <row r="37" spans="1:9" x14ac:dyDescent="0.35">
      <c r="A37" s="5">
        <v>4</v>
      </c>
      <c r="B37" s="22" t="str">
        <f>'7. Matriz Datos Entrada'!B8</f>
        <v>Concreto con Biochar (carbón vegetal pirolizado como sustituto parcial de cemento)</v>
      </c>
      <c r="C37" s="44">
        <f>SQRT((C22-C29)^2+(D22-D29)^2+(E22-E29)^2+(F22-F29)^2+(G22-G29)^2)</f>
        <v>0.10299417224941802</v>
      </c>
      <c r="D37" s="45">
        <f>SQRT((C22-C30)^2+(D22-D30)^2+(E22-E30)^2+(F22-F30)^2+(G22-G30)^2)</f>
        <v>0.11641494847640523</v>
      </c>
    </row>
    <row r="38" spans="1:9" ht="23" x14ac:dyDescent="0.35">
      <c r="A38" s="4">
        <v>5</v>
      </c>
      <c r="B38" s="22" t="str">
        <f>'7. Matriz Datos Entrada'!B9</f>
        <v>Vidrio Reciclado Triturado como Sustituto de Árido Fino en Concreto y Morteros</v>
      </c>
      <c r="C38" s="44">
        <f>SQRT((C23-C29)^2+(D23-D29)^2+(E23-E29)^2+(F23-F29)^2+(G23-G29)^2)</f>
        <v>0.14528001151736697</v>
      </c>
      <c r="D38" s="45">
        <f>SQRT((C23-C30)^2+(D23-D30)^2+(E23-E30)^2+(F23-F30)^2+(G23-G30)^2)</f>
        <v>0.11715531742141484</v>
      </c>
    </row>
    <row r="39" spans="1:9" ht="23" x14ac:dyDescent="0.35">
      <c r="A39" s="5">
        <v>6</v>
      </c>
      <c r="B39" s="22" t="str">
        <f>'7. Matriz Datos Entrada'!B10</f>
        <v>Hempcrete: Biocompuesto de Cáñamo Industrial y Cal Hidráulica</v>
      </c>
      <c r="C39" s="44">
        <f>SQRT((C24-C29)^2+(D24-D29)^2+(E24-E29)^2+(F24-F29)^2+(G24-G29)^2)</f>
        <v>5.7307762451985163E-2</v>
      </c>
      <c r="D39" s="45">
        <f>SQRT((C24-C30)^2+(D24-D30)^2+(E24-E30)^2+(F24-F30)^2+(G24-G30)^2)</f>
        <v>0.20320569064957597</v>
      </c>
    </row>
    <row r="40" spans="1:9" ht="23" x14ac:dyDescent="0.35">
      <c r="A40" s="4">
        <v>7</v>
      </c>
      <c r="B40" s="22" t="str">
        <f>'7. Matriz Datos Entrada'!B11</f>
        <v>Ceniza de Cáscara de Arroz (Rice Husk Ash - RHA)</v>
      </c>
      <c r="C40" s="44">
        <f>SQRT((C25-C29)^2+(D25-D29)^2+(E25-E29)^2+(F25-F29)^2+(G25-G29)^2)</f>
        <v>0.10230535068834125</v>
      </c>
      <c r="D40" s="45">
        <f>SQRT((C25-C30)^2+(D25-D30)^2+(E25-E30)^2+(F25-F30)^2+(G25-G30)^2)</f>
        <v>0.14706655835156796</v>
      </c>
    </row>
    <row r="41" spans="1:9" ht="23" x14ac:dyDescent="0.35">
      <c r="A41" s="5">
        <v>8</v>
      </c>
      <c r="B41" s="22" t="str">
        <f>'7. Matriz Datos Entrada'!B12</f>
        <v>Fibras de Refuerzo de Plástico Reciclado</v>
      </c>
      <c r="C41" s="44">
        <f>SQRT((C26-C29)^2+(D26-D29)^2+(E26-E29)^2+(F26-F29)^2+(G26-G29)^2)</f>
        <v>0.1508873607274864</v>
      </c>
      <c r="D41" s="45">
        <f>SQRT((C26-C30)^2+(D26-D30)^2+(E26-E30)^2+(F26-F30)^2+(G26-G30)^2)</f>
        <v>7.7085358317535241E-2</v>
      </c>
    </row>
    <row r="43" spans="1:9" ht="15" customHeight="1" x14ac:dyDescent="0.35">
      <c r="A43" s="109" t="s">
        <v>165</v>
      </c>
      <c r="B43" s="109"/>
      <c r="C43" s="109"/>
      <c r="D43" s="109"/>
      <c r="E43" s="109"/>
      <c r="F43" s="109"/>
      <c r="G43" s="109"/>
      <c r="H43" s="109"/>
      <c r="I43" s="109"/>
    </row>
    <row r="44" spans="1:9" ht="36" customHeight="1" x14ac:dyDescent="0.35">
      <c r="A44" s="6" t="s">
        <v>40</v>
      </c>
      <c r="B44" s="6" t="s">
        <v>120</v>
      </c>
      <c r="C44" s="6" t="s">
        <v>166</v>
      </c>
      <c r="D44" s="6" t="s">
        <v>167</v>
      </c>
      <c r="E44" s="6" t="s">
        <v>168</v>
      </c>
      <c r="F44" s="6" t="s">
        <v>169</v>
      </c>
      <c r="G44" s="6" t="s">
        <v>170</v>
      </c>
    </row>
    <row r="45" spans="1:9" ht="23" x14ac:dyDescent="0.35">
      <c r="A45" s="5">
        <v>1</v>
      </c>
      <c r="B45" s="46" t="str">
        <f>'7. Matriz Datos Entrada'!B5</f>
        <v>Concreto con Agregados de Concreto Reciclado (Residuos de Construcción y Demolición – RCD)</v>
      </c>
      <c r="C45" s="44">
        <f t="shared" ref="C45:D52" si="0">C34</f>
        <v>0.17116575332332909</v>
      </c>
      <c r="D45" s="45">
        <f t="shared" si="0"/>
        <v>0.10400562973593049</v>
      </c>
      <c r="E45" s="47">
        <f t="shared" ref="E45:E52" si="1">D45/(C45+D45)</f>
        <v>0.37796673687369714</v>
      </c>
      <c r="F45" s="48">
        <f>RANK(E45,E45:E52,0)</f>
        <v>7</v>
      </c>
      <c r="G45" s="49" t="e">
        <f>('7. Matriz Datos Entrada'!H5+'7. Matriz Datos Entrada'!#REF!*0.5)/34</f>
        <v>#REF!</v>
      </c>
    </row>
    <row r="46" spans="1:9" ht="23" x14ac:dyDescent="0.35">
      <c r="A46" s="4">
        <v>2</v>
      </c>
      <c r="B46" s="50" t="str">
        <f>'7. Matriz Datos Entrada'!B6</f>
        <v>Geopolímeros Activados Alcalinamente (base escoria de alto horno y/o ceniza volante)</v>
      </c>
      <c r="C46" s="44">
        <f t="shared" si="0"/>
        <v>0.13284844167727297</v>
      </c>
      <c r="D46" s="45">
        <f t="shared" si="0"/>
        <v>0.13534240530986552</v>
      </c>
      <c r="E46" s="47">
        <f t="shared" si="1"/>
        <v>0.5046496061677902</v>
      </c>
      <c r="F46" s="48">
        <f>RANK(E46,E45:E52,0)</f>
        <v>5</v>
      </c>
      <c r="G46" s="51" t="e">
        <f>('7. Matriz Datos Entrada'!H6+'7. Matriz Datos Entrada'!#REF!*0.5)/34</f>
        <v>#REF!</v>
      </c>
    </row>
    <row r="47" spans="1:9" ht="15.5" x14ac:dyDescent="0.35">
      <c r="A47" s="5">
        <v>3</v>
      </c>
      <c r="B47" s="52" t="str">
        <f>'7. Matriz Datos Entrada'!B7</f>
        <v>Bambú Estructural</v>
      </c>
      <c r="C47" s="44">
        <f t="shared" si="0"/>
        <v>3.0283612509145592E-2</v>
      </c>
      <c r="D47" s="45">
        <f t="shared" si="0"/>
        <v>0.2070906633497637</v>
      </c>
      <c r="E47" s="47">
        <f t="shared" si="1"/>
        <v>0.87242251756401101</v>
      </c>
      <c r="F47" s="48">
        <f>RANK(E47,E45:E52,0)</f>
        <v>1</v>
      </c>
      <c r="G47" s="49" t="e">
        <f>('7. Matriz Datos Entrada'!H7+'7. Matriz Datos Entrada'!#REF!*0.5)/34</f>
        <v>#REF!</v>
      </c>
    </row>
    <row r="48" spans="1:9" ht="15.5" x14ac:dyDescent="0.35">
      <c r="A48" s="4">
        <v>4</v>
      </c>
      <c r="B48" s="53" t="str">
        <f>'7. Matriz Datos Entrada'!B8</f>
        <v>Concreto con Biochar (carbón vegetal pirolizado como sustituto parcial de cemento)</v>
      </c>
      <c r="C48" s="44">
        <f t="shared" si="0"/>
        <v>0.10299417224941802</v>
      </c>
      <c r="D48" s="45">
        <f t="shared" si="0"/>
        <v>0.11641494847640523</v>
      </c>
      <c r="E48" s="47">
        <f t="shared" si="1"/>
        <v>0.53058390686446899</v>
      </c>
      <c r="F48" s="48">
        <f>RANK(E48,E45:E52,0)</f>
        <v>4</v>
      </c>
      <c r="G48" s="51" t="e">
        <f>('7. Matriz Datos Entrada'!H8+'7. Matriz Datos Entrada'!#REF!*0.5)/34</f>
        <v>#REF!</v>
      </c>
    </row>
    <row r="49" spans="1:7" ht="23" x14ac:dyDescent="0.35">
      <c r="A49" s="5">
        <v>5</v>
      </c>
      <c r="B49" s="54" t="str">
        <f>'7. Matriz Datos Entrada'!B9</f>
        <v>Vidrio Reciclado Triturado como Sustituto de Árido Fino en Concreto y Morteros</v>
      </c>
      <c r="C49" s="44">
        <f t="shared" si="0"/>
        <v>0.14528001151736697</v>
      </c>
      <c r="D49" s="45">
        <f t="shared" si="0"/>
        <v>0.11715531742141484</v>
      </c>
      <c r="E49" s="47">
        <f t="shared" si="1"/>
        <v>0.44641595281839369</v>
      </c>
      <c r="F49" s="48">
        <f>RANK(E49,E45:E52,0)</f>
        <v>6</v>
      </c>
      <c r="G49" s="49" t="e">
        <f>('7. Matriz Datos Entrada'!H9+'7. Matriz Datos Entrada'!#REF!*0.5)/34</f>
        <v>#REF!</v>
      </c>
    </row>
    <row r="50" spans="1:7" ht="23" x14ac:dyDescent="0.35">
      <c r="A50" s="4">
        <v>6</v>
      </c>
      <c r="B50" s="55" t="str">
        <f>'7. Matriz Datos Entrada'!B10</f>
        <v>Hempcrete: Biocompuesto de Cáñamo Industrial y Cal Hidráulica</v>
      </c>
      <c r="C50" s="44">
        <f t="shared" si="0"/>
        <v>5.7307762451985163E-2</v>
      </c>
      <c r="D50" s="45">
        <f t="shared" si="0"/>
        <v>0.20320569064957597</v>
      </c>
      <c r="E50" s="47">
        <f t="shared" si="1"/>
        <v>0.78001994994997914</v>
      </c>
      <c r="F50" s="48">
        <f>RANK(E50,E45:E52,0)</f>
        <v>2</v>
      </c>
      <c r="G50" s="51" t="e">
        <f>('7. Matriz Datos Entrada'!H10+'7. Matriz Datos Entrada'!#REF!*0.5)/34</f>
        <v>#REF!</v>
      </c>
    </row>
    <row r="51" spans="1:7" ht="23" x14ac:dyDescent="0.35">
      <c r="A51" s="5">
        <v>7</v>
      </c>
      <c r="B51" s="56" t="str">
        <f>'7. Matriz Datos Entrada'!B11</f>
        <v>Ceniza de Cáscara de Arroz (Rice Husk Ash - RHA)</v>
      </c>
      <c r="C51" s="44">
        <f t="shared" si="0"/>
        <v>0.10230535068834125</v>
      </c>
      <c r="D51" s="45">
        <f t="shared" si="0"/>
        <v>0.14706655835156796</v>
      </c>
      <c r="E51" s="47">
        <f t="shared" si="1"/>
        <v>0.58974789469182587</v>
      </c>
      <c r="F51" s="48">
        <f>RANK(E51,E45:E52,0)</f>
        <v>3</v>
      </c>
      <c r="G51" s="49" t="e">
        <f>('7. Matriz Datos Entrada'!H11+'7. Matriz Datos Entrada'!#REF!*0.5)/34</f>
        <v>#REF!</v>
      </c>
    </row>
    <row r="52" spans="1:7" ht="23" x14ac:dyDescent="0.35">
      <c r="A52" s="4">
        <v>8</v>
      </c>
      <c r="B52" s="57" t="str">
        <f>'7. Matriz Datos Entrada'!B12</f>
        <v>Fibras de Refuerzo de Plástico Reciclado</v>
      </c>
      <c r="C52" s="44">
        <f t="shared" si="0"/>
        <v>0.1508873607274864</v>
      </c>
      <c r="D52" s="45">
        <f t="shared" si="0"/>
        <v>7.7085358317535241E-2</v>
      </c>
      <c r="E52" s="47">
        <f t="shared" si="1"/>
        <v>0.33813413570029793</v>
      </c>
      <c r="F52" s="48">
        <f>RANK(E52,E45:E52,0)</f>
        <v>8</v>
      </c>
      <c r="G52" s="51" t="e">
        <f>('7. Matriz Datos Entrada'!H12+'7. Matriz Datos Entrada'!#REF!*0.5)/34</f>
        <v>#REF!</v>
      </c>
    </row>
    <row r="54" spans="1:7" ht="26" x14ac:dyDescent="0.35">
      <c r="B54" s="32" t="s">
        <v>171</v>
      </c>
      <c r="E54" s="32" t="str">
        <f>INDEX(B45:B52,MATCH(MAX(E45:E52),E45:E52,0))</f>
        <v>Bambú Estructural</v>
      </c>
    </row>
    <row r="55" spans="1:7" ht="16" x14ac:dyDescent="0.45">
      <c r="G55" s="61" t="s">
        <v>234</v>
      </c>
    </row>
  </sheetData>
  <mergeCells count="7">
    <mergeCell ref="A32:I32"/>
    <mergeCell ref="A43:I43"/>
    <mergeCell ref="A1:I1"/>
    <mergeCell ref="A2:I2"/>
    <mergeCell ref="A4:I4"/>
    <mergeCell ref="A17:I17"/>
    <mergeCell ref="A28:I28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67"/>
  <sheetViews>
    <sheetView showGridLines="0" zoomScaleNormal="100" workbookViewId="0">
      <selection activeCell="B63" sqref="B63"/>
    </sheetView>
  </sheetViews>
  <sheetFormatPr baseColWidth="10" defaultColWidth="8.6328125" defaultRowHeight="14.5" x14ac:dyDescent="0.35"/>
  <cols>
    <col min="1" max="1" width="22" customWidth="1"/>
    <col min="2" max="2" width="14" customWidth="1"/>
    <col min="3" max="9" width="16" customWidth="1"/>
  </cols>
  <sheetData>
    <row r="1" spans="1:9" ht="27.75" customHeight="1" x14ac:dyDescent="0.35">
      <c r="A1" s="105" t="s">
        <v>172</v>
      </c>
      <c r="B1" s="105"/>
      <c r="C1" s="105"/>
      <c r="D1" s="105"/>
      <c r="E1" s="105"/>
      <c r="F1" s="105"/>
      <c r="G1" s="105"/>
      <c r="H1" s="105"/>
      <c r="I1" s="105"/>
    </row>
    <row r="2" spans="1:9" ht="15.75" customHeight="1" x14ac:dyDescent="0.35">
      <c r="A2" s="106" t="s">
        <v>173</v>
      </c>
      <c r="B2" s="106"/>
      <c r="C2" s="106"/>
      <c r="D2" s="106"/>
      <c r="E2" s="106"/>
      <c r="F2" s="106"/>
      <c r="G2" s="106"/>
      <c r="H2" s="106"/>
      <c r="I2" s="106"/>
    </row>
    <row r="4" spans="1:9" ht="19.5" customHeight="1" x14ac:dyDescent="0.35">
      <c r="A4" s="107" t="s">
        <v>174</v>
      </c>
      <c r="B4" s="107"/>
      <c r="C4" s="107"/>
      <c r="D4" s="107"/>
      <c r="E4" s="107"/>
      <c r="F4" s="107"/>
      <c r="G4" s="107"/>
      <c r="H4" s="107"/>
      <c r="I4" s="107"/>
    </row>
    <row r="5" spans="1:9" ht="15.75" customHeight="1" x14ac:dyDescent="0.35">
      <c r="A5" s="58"/>
      <c r="B5" s="97" t="s">
        <v>175</v>
      </c>
      <c r="C5" s="97"/>
      <c r="D5" s="97"/>
      <c r="E5" s="97"/>
      <c r="F5" s="97"/>
      <c r="G5" s="97"/>
      <c r="H5" s="97"/>
      <c r="I5" s="97"/>
    </row>
    <row r="6" spans="1:9" ht="15.75" customHeight="1" x14ac:dyDescent="0.35">
      <c r="A6" s="58"/>
      <c r="B6" s="96" t="s">
        <v>176</v>
      </c>
      <c r="C6" s="96"/>
      <c r="D6" s="96"/>
      <c r="E6" s="96"/>
      <c r="F6" s="96"/>
      <c r="G6" s="96"/>
      <c r="H6" s="96"/>
      <c r="I6" s="96"/>
    </row>
    <row r="7" spans="1:9" ht="15.75" customHeight="1" x14ac:dyDescent="0.35">
      <c r="A7" s="58"/>
      <c r="B7" s="97" t="s">
        <v>177</v>
      </c>
      <c r="C7" s="97"/>
      <c r="D7" s="97"/>
      <c r="E7" s="97"/>
      <c r="F7" s="97"/>
      <c r="G7" s="97"/>
      <c r="H7" s="97"/>
      <c r="I7" s="97"/>
    </row>
    <row r="8" spans="1:9" ht="15.75" customHeight="1" x14ac:dyDescent="0.35">
      <c r="A8" s="58"/>
      <c r="B8" s="96" t="s">
        <v>178</v>
      </c>
      <c r="C8" s="96"/>
      <c r="D8" s="96"/>
      <c r="E8" s="96"/>
      <c r="F8" s="96"/>
      <c r="G8" s="96"/>
      <c r="H8" s="96"/>
      <c r="I8" s="96"/>
    </row>
    <row r="9" spans="1:9" ht="15.75" customHeight="1" x14ac:dyDescent="0.35">
      <c r="A9" s="58"/>
      <c r="B9" s="97" t="s">
        <v>179</v>
      </c>
      <c r="C9" s="97"/>
      <c r="D9" s="97"/>
      <c r="E9" s="97"/>
      <c r="F9" s="97"/>
      <c r="G9" s="97"/>
      <c r="H9" s="97"/>
      <c r="I9" s="97"/>
    </row>
    <row r="11" spans="1:9" ht="19.5" customHeight="1" x14ac:dyDescent="0.35">
      <c r="A11" s="104" t="s">
        <v>180</v>
      </c>
      <c r="B11" s="104"/>
      <c r="C11" s="104"/>
      <c r="D11" s="104"/>
      <c r="E11" s="104"/>
      <c r="F11" s="104"/>
      <c r="G11" s="104"/>
      <c r="H11" s="104"/>
      <c r="I11" s="104"/>
    </row>
    <row r="12" spans="1:9" ht="15.75" customHeight="1" x14ac:dyDescent="0.35">
      <c r="A12" s="58"/>
      <c r="B12" s="96" t="s">
        <v>181</v>
      </c>
      <c r="C12" s="96"/>
      <c r="D12" s="96"/>
      <c r="E12" s="96"/>
      <c r="F12" s="96"/>
      <c r="G12" s="96"/>
      <c r="H12" s="96"/>
      <c r="I12" s="96"/>
    </row>
    <row r="13" spans="1:9" ht="15.75" customHeight="1" x14ac:dyDescent="0.35">
      <c r="A13" s="58"/>
      <c r="B13" s="97" t="s">
        <v>182</v>
      </c>
      <c r="C13" s="97"/>
      <c r="D13" s="97"/>
      <c r="E13" s="97"/>
      <c r="F13" s="97"/>
      <c r="G13" s="97"/>
      <c r="H13" s="97"/>
      <c r="I13" s="97"/>
    </row>
    <row r="14" spans="1:9" ht="15.75" customHeight="1" x14ac:dyDescent="0.35">
      <c r="A14" s="58"/>
      <c r="B14" s="96" t="s">
        <v>183</v>
      </c>
      <c r="C14" s="96"/>
      <c r="D14" s="96"/>
      <c r="E14" s="96"/>
      <c r="F14" s="96"/>
      <c r="G14" s="96"/>
      <c r="H14" s="96"/>
      <c r="I14" s="96"/>
    </row>
    <row r="15" spans="1:9" ht="15.75" customHeight="1" x14ac:dyDescent="0.35">
      <c r="A15" s="58"/>
      <c r="B15" s="97" t="s">
        <v>184</v>
      </c>
      <c r="C15" s="97"/>
      <c r="D15" s="97"/>
      <c r="E15" s="97"/>
      <c r="F15" s="97"/>
      <c r="G15" s="97"/>
      <c r="H15" s="97"/>
      <c r="I15" s="97"/>
    </row>
    <row r="16" spans="1:9" ht="15.75" customHeight="1" x14ac:dyDescent="0.35">
      <c r="A16" s="58"/>
      <c r="B16" s="96" t="s">
        <v>185</v>
      </c>
      <c r="C16" s="96"/>
      <c r="D16" s="96"/>
      <c r="E16" s="96"/>
      <c r="F16" s="96"/>
      <c r="G16" s="96"/>
      <c r="H16" s="96"/>
      <c r="I16" s="96"/>
    </row>
    <row r="18" spans="1:9" ht="19.5" customHeight="1" x14ac:dyDescent="0.35">
      <c r="A18" s="103" t="s">
        <v>124</v>
      </c>
      <c r="B18" s="103"/>
      <c r="C18" s="103"/>
      <c r="D18" s="103"/>
      <c r="E18" s="103"/>
      <c r="F18" s="103"/>
      <c r="G18" s="103"/>
      <c r="H18" s="103"/>
      <c r="I18" s="103"/>
    </row>
    <row r="19" spans="1:9" ht="15.75" customHeight="1" x14ac:dyDescent="0.35">
      <c r="A19" s="58"/>
      <c r="B19" s="97" t="s">
        <v>186</v>
      </c>
      <c r="C19" s="97"/>
      <c r="D19" s="97"/>
      <c r="E19" s="97"/>
      <c r="F19" s="97"/>
      <c r="G19" s="97"/>
      <c r="H19" s="97"/>
      <c r="I19" s="97"/>
    </row>
    <row r="20" spans="1:9" ht="15.75" customHeight="1" x14ac:dyDescent="0.35">
      <c r="A20" s="58"/>
      <c r="B20" s="96" t="s">
        <v>187</v>
      </c>
      <c r="C20" s="96"/>
      <c r="D20" s="96"/>
      <c r="E20" s="96"/>
      <c r="F20" s="96"/>
      <c r="G20" s="96"/>
      <c r="H20" s="96"/>
      <c r="I20" s="96"/>
    </row>
    <row r="21" spans="1:9" ht="15.75" customHeight="1" x14ac:dyDescent="0.35">
      <c r="A21" s="58"/>
      <c r="B21" s="97" t="s">
        <v>188</v>
      </c>
      <c r="C21" s="97"/>
      <c r="D21" s="97"/>
      <c r="E21" s="97"/>
      <c r="F21" s="97"/>
      <c r="G21" s="97"/>
      <c r="H21" s="97"/>
      <c r="I21" s="97"/>
    </row>
    <row r="22" spans="1:9" ht="15.75" customHeight="1" x14ac:dyDescent="0.35">
      <c r="A22" s="58"/>
      <c r="B22" s="96" t="s">
        <v>189</v>
      </c>
      <c r="C22" s="96"/>
      <c r="D22" s="96"/>
      <c r="E22" s="96"/>
      <c r="F22" s="96"/>
      <c r="G22" s="96"/>
      <c r="H22" s="96"/>
      <c r="I22" s="96"/>
    </row>
    <row r="23" spans="1:9" ht="15.75" customHeight="1" x14ac:dyDescent="0.35">
      <c r="A23" s="58"/>
      <c r="B23" s="97" t="s">
        <v>190</v>
      </c>
      <c r="C23" s="97"/>
      <c r="D23" s="97"/>
      <c r="E23" s="97"/>
      <c r="F23" s="97"/>
      <c r="G23" s="97"/>
      <c r="H23" s="97"/>
      <c r="I23" s="97"/>
    </row>
    <row r="25" spans="1:9" ht="19.5" customHeight="1" x14ac:dyDescent="0.35">
      <c r="A25" s="102" t="s">
        <v>126</v>
      </c>
      <c r="B25" s="102"/>
      <c r="C25" s="102"/>
      <c r="D25" s="102"/>
      <c r="E25" s="102"/>
      <c r="F25" s="102"/>
      <c r="G25" s="102"/>
      <c r="H25" s="102"/>
      <c r="I25" s="102"/>
    </row>
    <row r="26" spans="1:9" ht="15.75" customHeight="1" x14ac:dyDescent="0.35">
      <c r="A26" s="58"/>
      <c r="B26" s="96" t="s">
        <v>191</v>
      </c>
      <c r="C26" s="96"/>
      <c r="D26" s="96"/>
      <c r="E26" s="96"/>
      <c r="F26" s="96"/>
      <c r="G26" s="96"/>
      <c r="H26" s="96"/>
      <c r="I26" s="96"/>
    </row>
    <row r="27" spans="1:9" ht="15.75" customHeight="1" x14ac:dyDescent="0.35">
      <c r="A27" s="58"/>
      <c r="B27" s="97" t="s">
        <v>192</v>
      </c>
      <c r="C27" s="97"/>
      <c r="D27" s="97"/>
      <c r="E27" s="97"/>
      <c r="F27" s="97"/>
      <c r="G27" s="97"/>
      <c r="H27" s="97"/>
      <c r="I27" s="97"/>
    </row>
    <row r="28" spans="1:9" ht="15.75" customHeight="1" x14ac:dyDescent="0.35">
      <c r="A28" s="58"/>
      <c r="B28" s="96" t="s">
        <v>193</v>
      </c>
      <c r="C28" s="96"/>
      <c r="D28" s="96"/>
      <c r="E28" s="96"/>
      <c r="F28" s="96"/>
      <c r="G28" s="96"/>
      <c r="H28" s="96"/>
      <c r="I28" s="96"/>
    </row>
    <row r="29" spans="1:9" ht="15.75" customHeight="1" x14ac:dyDescent="0.35">
      <c r="A29" s="58"/>
      <c r="B29" s="97" t="s">
        <v>194</v>
      </c>
      <c r="C29" s="97"/>
      <c r="D29" s="97"/>
      <c r="E29" s="97"/>
      <c r="F29" s="97"/>
      <c r="G29" s="97"/>
      <c r="H29" s="97"/>
      <c r="I29" s="97"/>
    </row>
    <row r="30" spans="1:9" ht="15.75" customHeight="1" x14ac:dyDescent="0.35">
      <c r="A30" s="58"/>
      <c r="B30" s="96" t="s">
        <v>195</v>
      </c>
      <c r="C30" s="96"/>
      <c r="D30" s="96"/>
      <c r="E30" s="96"/>
      <c r="F30" s="96"/>
      <c r="G30" s="96"/>
      <c r="H30" s="96"/>
      <c r="I30" s="96"/>
    </row>
    <row r="32" spans="1:9" ht="19.5" customHeight="1" x14ac:dyDescent="0.35">
      <c r="A32" s="101" t="s">
        <v>196</v>
      </c>
      <c r="B32" s="101"/>
      <c r="C32" s="101"/>
      <c r="D32" s="101"/>
      <c r="E32" s="101"/>
      <c r="F32" s="101"/>
      <c r="G32" s="101"/>
      <c r="H32" s="101"/>
      <c r="I32" s="101"/>
    </row>
    <row r="33" spans="1:9" ht="15.75" customHeight="1" x14ac:dyDescent="0.35">
      <c r="A33" s="58"/>
      <c r="B33" s="97" t="s">
        <v>197</v>
      </c>
      <c r="C33" s="97"/>
      <c r="D33" s="97"/>
      <c r="E33" s="97"/>
      <c r="F33" s="97"/>
      <c r="G33" s="97"/>
      <c r="H33" s="97"/>
      <c r="I33" s="97"/>
    </row>
    <row r="34" spans="1:9" ht="15.75" customHeight="1" x14ac:dyDescent="0.35">
      <c r="A34" s="58"/>
      <c r="B34" s="96" t="s">
        <v>198</v>
      </c>
      <c r="C34" s="96"/>
      <c r="D34" s="96"/>
      <c r="E34" s="96"/>
      <c r="F34" s="96"/>
      <c r="G34" s="96"/>
      <c r="H34" s="96"/>
      <c r="I34" s="96"/>
    </row>
    <row r="35" spans="1:9" ht="15.75" customHeight="1" x14ac:dyDescent="0.35">
      <c r="A35" s="58"/>
      <c r="B35" s="97" t="s">
        <v>199</v>
      </c>
      <c r="C35" s="97"/>
      <c r="D35" s="97"/>
      <c r="E35" s="97"/>
      <c r="F35" s="97"/>
      <c r="G35" s="97"/>
      <c r="H35" s="97"/>
      <c r="I35" s="97"/>
    </row>
    <row r="36" spans="1:9" ht="15.75" customHeight="1" x14ac:dyDescent="0.35">
      <c r="A36" s="58"/>
      <c r="B36" s="96" t="s">
        <v>200</v>
      </c>
      <c r="C36" s="96"/>
      <c r="D36" s="96"/>
      <c r="E36" s="96"/>
      <c r="F36" s="96"/>
      <c r="G36" s="96"/>
      <c r="H36" s="96"/>
      <c r="I36" s="96"/>
    </row>
    <row r="37" spans="1:9" ht="15.75" customHeight="1" x14ac:dyDescent="0.35">
      <c r="A37" s="58"/>
      <c r="B37" s="97" t="s">
        <v>201</v>
      </c>
      <c r="C37" s="97"/>
      <c r="D37" s="97"/>
      <c r="E37" s="97"/>
      <c r="F37" s="97"/>
      <c r="G37" s="97"/>
      <c r="H37" s="97"/>
      <c r="I37" s="97"/>
    </row>
    <row r="39" spans="1:9" ht="19.5" customHeight="1" x14ac:dyDescent="0.35">
      <c r="A39" s="100" t="s">
        <v>202</v>
      </c>
      <c r="B39" s="100"/>
      <c r="C39" s="100"/>
      <c r="D39" s="100"/>
      <c r="E39" s="100"/>
      <c r="F39" s="100"/>
      <c r="G39" s="100"/>
      <c r="H39" s="100"/>
      <c r="I39" s="100"/>
    </row>
    <row r="40" spans="1:9" ht="15.75" customHeight="1" x14ac:dyDescent="0.35">
      <c r="A40" s="58"/>
      <c r="B40" s="96" t="s">
        <v>203</v>
      </c>
      <c r="C40" s="96"/>
      <c r="D40" s="96"/>
      <c r="E40" s="96"/>
      <c r="F40" s="96"/>
      <c r="G40" s="96"/>
      <c r="H40" s="96"/>
      <c r="I40" s="96"/>
    </row>
    <row r="41" spans="1:9" ht="15.75" customHeight="1" x14ac:dyDescent="0.35">
      <c r="A41" s="58"/>
      <c r="B41" s="97" t="s">
        <v>204</v>
      </c>
      <c r="C41" s="97"/>
      <c r="D41" s="97"/>
      <c r="E41" s="97"/>
      <c r="F41" s="97"/>
      <c r="G41" s="97"/>
      <c r="H41" s="97"/>
      <c r="I41" s="97"/>
    </row>
    <row r="42" spans="1:9" ht="15.75" customHeight="1" x14ac:dyDescent="0.35">
      <c r="A42" s="58"/>
      <c r="B42" s="96" t="s">
        <v>205</v>
      </c>
      <c r="C42" s="96"/>
      <c r="D42" s="96"/>
      <c r="E42" s="96"/>
      <c r="F42" s="96"/>
      <c r="G42" s="96"/>
      <c r="H42" s="96"/>
      <c r="I42" s="96"/>
    </row>
    <row r="43" spans="1:9" ht="15.75" customHeight="1" x14ac:dyDescent="0.35">
      <c r="A43" s="58"/>
      <c r="B43" s="97" t="s">
        <v>206</v>
      </c>
      <c r="C43" s="97"/>
      <c r="D43" s="97"/>
      <c r="E43" s="97"/>
      <c r="F43" s="97"/>
      <c r="G43" s="97"/>
      <c r="H43" s="97"/>
      <c r="I43" s="97"/>
    </row>
    <row r="44" spans="1:9" ht="15.75" customHeight="1" x14ac:dyDescent="0.35">
      <c r="A44" s="58"/>
      <c r="B44" s="96" t="s">
        <v>207</v>
      </c>
      <c r="C44" s="96"/>
      <c r="D44" s="96"/>
      <c r="E44" s="96"/>
      <c r="F44" s="96"/>
      <c r="G44" s="96"/>
      <c r="H44" s="96"/>
      <c r="I44" s="96"/>
    </row>
    <row r="46" spans="1:9" ht="19.5" customHeight="1" x14ac:dyDescent="0.35">
      <c r="A46" s="99" t="s">
        <v>208</v>
      </c>
      <c r="B46" s="99"/>
      <c r="C46" s="99"/>
      <c r="D46" s="99"/>
      <c r="E46" s="99"/>
      <c r="F46" s="99"/>
      <c r="G46" s="99"/>
      <c r="H46" s="99"/>
      <c r="I46" s="99"/>
    </row>
    <row r="47" spans="1:9" ht="15.75" customHeight="1" x14ac:dyDescent="0.35">
      <c r="A47" s="58"/>
      <c r="B47" s="97" t="s">
        <v>209</v>
      </c>
      <c r="C47" s="97"/>
      <c r="D47" s="97"/>
      <c r="E47" s="97"/>
      <c r="F47" s="97"/>
      <c r="G47" s="97"/>
      <c r="H47" s="97"/>
      <c r="I47" s="97"/>
    </row>
    <row r="48" spans="1:9" ht="15.75" customHeight="1" x14ac:dyDescent="0.35">
      <c r="A48" s="58"/>
      <c r="B48" s="96" t="s">
        <v>210</v>
      </c>
      <c r="C48" s="96"/>
      <c r="D48" s="96"/>
      <c r="E48" s="96"/>
      <c r="F48" s="96"/>
      <c r="G48" s="96"/>
      <c r="H48" s="96"/>
      <c r="I48" s="96"/>
    </row>
    <row r="49" spans="1:9" ht="15.75" customHeight="1" x14ac:dyDescent="0.35">
      <c r="A49" s="58"/>
      <c r="B49" s="97" t="s">
        <v>211</v>
      </c>
      <c r="C49" s="97"/>
      <c r="D49" s="97"/>
      <c r="E49" s="97"/>
      <c r="F49" s="97"/>
      <c r="G49" s="97"/>
      <c r="H49" s="97"/>
      <c r="I49" s="97"/>
    </row>
    <row r="50" spans="1:9" ht="15.75" customHeight="1" x14ac:dyDescent="0.35">
      <c r="A50" s="58"/>
      <c r="B50" s="96" t="s">
        <v>212</v>
      </c>
      <c r="C50" s="96"/>
      <c r="D50" s="96"/>
      <c r="E50" s="96"/>
      <c r="F50" s="96"/>
      <c r="G50" s="96"/>
      <c r="H50" s="96"/>
      <c r="I50" s="96"/>
    </row>
    <row r="51" spans="1:9" ht="15.75" customHeight="1" x14ac:dyDescent="0.35">
      <c r="A51" s="58"/>
      <c r="B51" s="97" t="s">
        <v>213</v>
      </c>
      <c r="C51" s="97"/>
      <c r="D51" s="97"/>
      <c r="E51" s="97"/>
      <c r="F51" s="97"/>
      <c r="G51" s="97"/>
      <c r="H51" s="97"/>
      <c r="I51" s="97"/>
    </row>
    <row r="53" spans="1:9" ht="19.5" customHeight="1" x14ac:dyDescent="0.35">
      <c r="A53" s="98" t="s">
        <v>214</v>
      </c>
      <c r="B53" s="98"/>
      <c r="C53" s="98"/>
      <c r="D53" s="98"/>
      <c r="E53" s="98"/>
      <c r="F53" s="98"/>
      <c r="G53" s="98"/>
      <c r="H53" s="98"/>
      <c r="I53" s="98"/>
    </row>
    <row r="54" spans="1:9" ht="15.75" customHeight="1" x14ac:dyDescent="0.35">
      <c r="A54" s="58"/>
      <c r="B54" s="96" t="s">
        <v>209</v>
      </c>
      <c r="C54" s="96"/>
      <c r="D54" s="96"/>
      <c r="E54" s="96"/>
      <c r="F54" s="96"/>
      <c r="G54" s="96"/>
      <c r="H54" s="96"/>
      <c r="I54" s="96"/>
    </row>
    <row r="55" spans="1:9" ht="15.75" customHeight="1" x14ac:dyDescent="0.35">
      <c r="A55" s="58"/>
      <c r="B55" s="97" t="s">
        <v>215</v>
      </c>
      <c r="C55" s="97"/>
      <c r="D55" s="97"/>
      <c r="E55" s="97"/>
      <c r="F55" s="97"/>
      <c r="G55" s="97"/>
      <c r="H55" s="97"/>
      <c r="I55" s="97"/>
    </row>
    <row r="56" spans="1:9" ht="15.75" customHeight="1" x14ac:dyDescent="0.35">
      <c r="A56" s="58"/>
      <c r="B56" s="96" t="s">
        <v>216</v>
      </c>
      <c r="C56" s="96"/>
      <c r="D56" s="96"/>
      <c r="E56" s="96"/>
      <c r="F56" s="96"/>
      <c r="G56" s="96"/>
      <c r="H56" s="96"/>
      <c r="I56" s="96"/>
    </row>
    <row r="57" spans="1:9" ht="15.75" customHeight="1" x14ac:dyDescent="0.35">
      <c r="A57" s="58"/>
      <c r="B57" s="97" t="s">
        <v>217</v>
      </c>
      <c r="C57" s="97"/>
      <c r="D57" s="97"/>
      <c r="E57" s="97"/>
      <c r="F57" s="97"/>
      <c r="G57" s="97"/>
      <c r="H57" s="97"/>
      <c r="I57" s="97"/>
    </row>
    <row r="58" spans="1:9" ht="15.75" customHeight="1" x14ac:dyDescent="0.35">
      <c r="A58" s="58"/>
      <c r="B58" s="96" t="s">
        <v>218</v>
      </c>
      <c r="C58" s="96"/>
      <c r="D58" s="96"/>
      <c r="E58" s="96"/>
      <c r="F58" s="96"/>
      <c r="G58" s="96"/>
      <c r="H58" s="96"/>
      <c r="I58" s="96"/>
    </row>
    <row r="61" spans="1:9" ht="15" customHeight="1" x14ac:dyDescent="0.35">
      <c r="A61" s="92" t="s">
        <v>219</v>
      </c>
      <c r="B61" s="92"/>
      <c r="C61" s="92"/>
      <c r="D61" s="92"/>
      <c r="E61" s="92"/>
      <c r="F61" s="92"/>
      <c r="G61" s="92"/>
      <c r="H61" s="92"/>
      <c r="I61" s="92"/>
    </row>
    <row r="62" spans="1:9" ht="24" customHeight="1" x14ac:dyDescent="0.35">
      <c r="A62" s="6" t="s">
        <v>2</v>
      </c>
      <c r="B62" s="6" t="s">
        <v>220</v>
      </c>
      <c r="C62" s="93" t="s">
        <v>221</v>
      </c>
      <c r="D62" s="94"/>
      <c r="E62" s="95"/>
      <c r="F62" s="93" t="s">
        <v>222</v>
      </c>
      <c r="G62" s="94"/>
      <c r="H62" s="94"/>
      <c r="I62" s="95"/>
    </row>
    <row r="63" spans="1:9" ht="24" customHeight="1" x14ac:dyDescent="0.35">
      <c r="A63" s="59" t="s">
        <v>4</v>
      </c>
      <c r="B63" s="60">
        <f>'5. Peso Final Combinado'!E4</f>
        <v>0.34022248790357074</v>
      </c>
      <c r="C63" s="89" t="s">
        <v>223</v>
      </c>
      <c r="D63" s="89"/>
      <c r="E63" s="89"/>
      <c r="F63" s="90" t="s">
        <v>224</v>
      </c>
      <c r="G63" s="90"/>
      <c r="H63" s="90"/>
      <c r="I63" s="90"/>
    </row>
    <row r="64" spans="1:9" ht="24" customHeight="1" x14ac:dyDescent="0.35">
      <c r="A64" s="59" t="s">
        <v>5</v>
      </c>
      <c r="B64" s="60">
        <f>'5. Peso Final Combinado'!E5</f>
        <v>0.20462611797023306</v>
      </c>
      <c r="C64" s="89" t="s">
        <v>225</v>
      </c>
      <c r="D64" s="89"/>
      <c r="E64" s="89"/>
      <c r="F64" s="91" t="s">
        <v>226</v>
      </c>
      <c r="G64" s="91"/>
      <c r="H64" s="91"/>
      <c r="I64" s="91"/>
    </row>
    <row r="65" spans="1:9" ht="24" customHeight="1" x14ac:dyDescent="0.35">
      <c r="A65" s="59" t="s">
        <v>6</v>
      </c>
      <c r="B65" s="60">
        <f>'5. Peso Final Combinado'!E6</f>
        <v>0.18648624296233091</v>
      </c>
      <c r="C65" s="89" t="s">
        <v>227</v>
      </c>
      <c r="D65" s="89"/>
      <c r="E65" s="89"/>
      <c r="F65" s="90" t="s">
        <v>228</v>
      </c>
      <c r="G65" s="90"/>
      <c r="H65" s="90"/>
      <c r="I65" s="90"/>
    </row>
    <row r="66" spans="1:9" ht="24" customHeight="1" x14ac:dyDescent="0.35">
      <c r="A66" s="59" t="s">
        <v>7</v>
      </c>
      <c r="B66" s="60">
        <f>'5. Peso Final Combinado'!E7</f>
        <v>0.15982398701940304</v>
      </c>
      <c r="C66" s="89" t="s">
        <v>229</v>
      </c>
      <c r="D66" s="89"/>
      <c r="E66" s="89"/>
      <c r="F66" s="91" t="s">
        <v>230</v>
      </c>
      <c r="G66" s="91"/>
      <c r="H66" s="91"/>
      <c r="I66" s="91"/>
    </row>
    <row r="67" spans="1:9" ht="24" customHeight="1" x14ac:dyDescent="0.35">
      <c r="A67" s="59" t="s">
        <v>8</v>
      </c>
      <c r="B67" s="60">
        <f>'5. Peso Final Combinado'!E8</f>
        <v>0.10884116414446218</v>
      </c>
      <c r="C67" s="89" t="s">
        <v>231</v>
      </c>
      <c r="D67" s="89"/>
      <c r="E67" s="89"/>
      <c r="F67" s="90" t="s">
        <v>232</v>
      </c>
      <c r="G67" s="90"/>
      <c r="H67" s="90"/>
      <c r="I67" s="90"/>
    </row>
  </sheetData>
  <mergeCells count="63">
    <mergeCell ref="A1:I1"/>
    <mergeCell ref="A2:I2"/>
    <mergeCell ref="A4:I4"/>
    <mergeCell ref="B5:I5"/>
    <mergeCell ref="B6:I6"/>
    <mergeCell ref="B7:I7"/>
    <mergeCell ref="B8:I8"/>
    <mergeCell ref="B9:I9"/>
    <mergeCell ref="A11:I11"/>
    <mergeCell ref="B12:I12"/>
    <mergeCell ref="B13:I13"/>
    <mergeCell ref="B14:I14"/>
    <mergeCell ref="B15:I15"/>
    <mergeCell ref="B16:I16"/>
    <mergeCell ref="A18:I18"/>
    <mergeCell ref="B19:I19"/>
    <mergeCell ref="B20:I20"/>
    <mergeCell ref="B21:I21"/>
    <mergeCell ref="B22:I22"/>
    <mergeCell ref="B23:I23"/>
    <mergeCell ref="A25:I25"/>
    <mergeCell ref="B26:I26"/>
    <mergeCell ref="B27:I27"/>
    <mergeCell ref="B28:I28"/>
    <mergeCell ref="B29:I29"/>
    <mergeCell ref="B30:I30"/>
    <mergeCell ref="A32:I32"/>
    <mergeCell ref="B33:I33"/>
    <mergeCell ref="B34:I34"/>
    <mergeCell ref="B35:I35"/>
    <mergeCell ref="B36:I36"/>
    <mergeCell ref="B37:I37"/>
    <mergeCell ref="A39:I39"/>
    <mergeCell ref="B40:I40"/>
    <mergeCell ref="B41:I41"/>
    <mergeCell ref="B42:I42"/>
    <mergeCell ref="B43:I43"/>
    <mergeCell ref="B44:I44"/>
    <mergeCell ref="A46:I46"/>
    <mergeCell ref="B47:I47"/>
    <mergeCell ref="B48:I48"/>
    <mergeCell ref="B49:I49"/>
    <mergeCell ref="B50:I50"/>
    <mergeCell ref="B51:I51"/>
    <mergeCell ref="A53:I53"/>
    <mergeCell ref="B54:I54"/>
    <mergeCell ref="B55:I55"/>
    <mergeCell ref="B56:I56"/>
    <mergeCell ref="B57:I57"/>
    <mergeCell ref="B58:I58"/>
    <mergeCell ref="A61:I61"/>
    <mergeCell ref="C63:E63"/>
    <mergeCell ref="F63:I63"/>
    <mergeCell ref="C64:E64"/>
    <mergeCell ref="F64:I64"/>
    <mergeCell ref="C62:E62"/>
    <mergeCell ref="F62:I62"/>
    <mergeCell ref="C65:E65"/>
    <mergeCell ref="F65:I65"/>
    <mergeCell ref="C66:E66"/>
    <mergeCell ref="F66:I66"/>
    <mergeCell ref="C67:E67"/>
    <mergeCell ref="F67:I67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1. Datos Entrada</vt:lpstr>
      <vt:lpstr>2.M1 Frecuencia Ponderada</vt:lpstr>
      <vt:lpstr>3.M2 Entropia Shannon</vt:lpstr>
      <vt:lpstr>4.M3 AHP Simplificado</vt:lpstr>
      <vt:lpstr>5. Peso Final Combinado</vt:lpstr>
      <vt:lpstr>6. Matriz 34 Fuentes</vt:lpstr>
      <vt:lpstr>7. Matriz Datos Entrada</vt:lpstr>
      <vt:lpstr>8.M1 Frecuencia Ponderada</vt:lpstr>
      <vt:lpstr>9.M2 Entropia Shannon</vt:lpstr>
      <vt:lpstr>10.M3 AHP</vt:lpstr>
      <vt:lpstr>11. Peso Final Combinado</vt:lpstr>
      <vt:lpstr>14_Mat_TOPSIS</vt:lpstr>
      <vt:lpstr>12_Justificacion_Materiales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Alejandro Gutierrez Vallejo</cp:lastModifiedBy>
  <cp:revision>0</cp:revision>
  <dcterms:created xsi:type="dcterms:W3CDTF">2026-04-27T03:48:54Z</dcterms:created>
  <dcterms:modified xsi:type="dcterms:W3CDTF">2026-05-19T04:37:49Z</dcterms:modified>
  <dc:language>en-US</dc:language>
</cp:coreProperties>
</file>